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mc:AlternateContent xmlns:mc="http://schemas.openxmlformats.org/markup-compatibility/2006">
    <mc:Choice Requires="x15">
      <x15ac:absPath xmlns:x15ac="http://schemas.microsoft.com/office/spreadsheetml/2010/11/ac" url="https://copowercomco-my.sharepoint.com/personal/tec_op_copower_com_co/Documents/O&amp;M COLOMBIA/07.- Mantenimiento/10. KPI GTE/Junio 2026/"/>
    </mc:Choice>
  </mc:AlternateContent>
  <xr:revisionPtr revIDLastSave="22" documentId="8_{6EFC143D-04FC-40A0-8A15-53DF41F22919}" xr6:coauthVersionLast="47" xr6:coauthVersionMax="47" xr10:uidLastSave="{0D5CECC0-C727-4DD6-9467-E71022D67D82}"/>
  <bookViews>
    <workbookView xWindow="-108" yWindow="-108" windowWidth="23256" windowHeight="13896" firstSheet="1" activeTab="1" xr2:uid="{931ABE7E-AE93-45A2-BA6B-3B70C46D0595}"/>
  </bookViews>
  <sheets>
    <sheet name="Hoja2" sheetId="2" r:id="rId1"/>
    <sheet name="Hoja1" sheetId="1" r:id="rId2"/>
  </sheets>
  <definedNames>
    <definedName name="_xlnm._FilterDatabase" localSheetId="1" hidden="1">Hoja1!$A$1:$N$429</definedName>
  </definedNames>
  <calcPr calcId="191028"/>
  <pivotCaches>
    <pivotCache cacheId="29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429" i="1" l="1"/>
  <c r="M428" i="1"/>
  <c r="M427" i="1"/>
  <c r="M426" i="1"/>
  <c r="M425" i="1"/>
  <c r="M424" i="1"/>
  <c r="M423" i="1"/>
  <c r="M422" i="1"/>
  <c r="M421" i="1"/>
  <c r="M420" i="1"/>
  <c r="K420" i="1"/>
  <c r="M419" i="1"/>
  <c r="M418" i="1"/>
  <c r="M417" i="1"/>
  <c r="M416" i="1"/>
  <c r="M415" i="1"/>
  <c r="K415" i="1"/>
  <c r="M414" i="1"/>
  <c r="M413" i="1"/>
  <c r="M412" i="1"/>
  <c r="M411" i="1"/>
  <c r="M410" i="1"/>
  <c r="M409" i="1"/>
  <c r="M408" i="1"/>
  <c r="M407" i="1"/>
  <c r="M406" i="1"/>
  <c r="M405" i="1"/>
  <c r="K405" i="1"/>
  <c r="M404" i="1"/>
  <c r="M403" i="1"/>
  <c r="M402" i="1"/>
  <c r="M401" i="1"/>
  <c r="M400" i="1"/>
  <c r="K400" i="1"/>
  <c r="M399" i="1"/>
  <c r="M398" i="1"/>
  <c r="M397" i="1"/>
  <c r="K397" i="1"/>
  <c r="M396" i="1"/>
  <c r="K396" i="1"/>
  <c r="M395" i="1"/>
  <c r="K395" i="1"/>
  <c r="M394" i="1"/>
  <c r="K394" i="1"/>
  <c r="M393" i="1"/>
  <c r="K393" i="1"/>
  <c r="M392" i="1"/>
  <c r="K392" i="1"/>
  <c r="M391" i="1"/>
  <c r="K391" i="1"/>
  <c r="M390" i="1"/>
  <c r="K390" i="1"/>
  <c r="M389" i="1"/>
  <c r="K389" i="1"/>
  <c r="M388" i="1"/>
  <c r="K388" i="1"/>
  <c r="M387" i="1"/>
  <c r="K387" i="1"/>
  <c r="M386" i="1"/>
  <c r="K386" i="1"/>
  <c r="M385" i="1"/>
  <c r="K385" i="1"/>
  <c r="M384" i="1"/>
  <c r="K384" i="1"/>
  <c r="M383" i="1"/>
  <c r="K383" i="1"/>
  <c r="M382" i="1"/>
  <c r="K382" i="1"/>
  <c r="M381" i="1"/>
  <c r="K381" i="1"/>
  <c r="M380" i="1"/>
  <c r="K380" i="1"/>
  <c r="M379" i="1"/>
  <c r="K379" i="1"/>
  <c r="M378" i="1"/>
  <c r="K378" i="1"/>
  <c r="M377" i="1"/>
  <c r="K377" i="1"/>
  <c r="M376" i="1"/>
  <c r="K376" i="1"/>
  <c r="M375" i="1"/>
  <c r="K375" i="1"/>
  <c r="M374" i="1"/>
  <c r="K374" i="1"/>
  <c r="M373" i="1"/>
  <c r="K373" i="1"/>
  <c r="M372" i="1"/>
  <c r="K372" i="1"/>
  <c r="M371" i="1"/>
  <c r="K371" i="1"/>
  <c r="M370" i="1"/>
  <c r="K370" i="1"/>
  <c r="M369" i="1"/>
  <c r="K369" i="1"/>
  <c r="M368" i="1"/>
  <c r="K368" i="1"/>
  <c r="M367" i="1"/>
  <c r="K367" i="1"/>
  <c r="M366" i="1"/>
  <c r="K366" i="1"/>
  <c r="M365" i="1"/>
  <c r="K365" i="1"/>
  <c r="M364" i="1"/>
  <c r="K364" i="1"/>
  <c r="M363" i="1"/>
  <c r="K363" i="1"/>
  <c r="M362" i="1"/>
  <c r="K362" i="1"/>
  <c r="M361" i="1"/>
  <c r="K361" i="1"/>
  <c r="M360" i="1"/>
  <c r="K360" i="1"/>
  <c r="M359" i="1"/>
  <c r="K359" i="1"/>
  <c r="M358" i="1"/>
  <c r="K358" i="1"/>
  <c r="M357" i="1"/>
  <c r="K357" i="1"/>
  <c r="M356" i="1"/>
  <c r="K356" i="1"/>
  <c r="M355" i="1"/>
  <c r="K355" i="1"/>
  <c r="M354" i="1"/>
  <c r="K354" i="1"/>
  <c r="M353" i="1"/>
  <c r="K353" i="1"/>
  <c r="M352" i="1"/>
  <c r="K352" i="1"/>
  <c r="M351" i="1"/>
  <c r="K351" i="1"/>
  <c r="M350" i="1"/>
  <c r="K350" i="1"/>
  <c r="M349" i="1"/>
  <c r="K349" i="1"/>
  <c r="M348" i="1"/>
  <c r="K348" i="1"/>
  <c r="M347" i="1"/>
  <c r="K347" i="1"/>
  <c r="M346" i="1"/>
  <c r="K346" i="1"/>
  <c r="M345" i="1"/>
  <c r="K345" i="1"/>
  <c r="M344" i="1"/>
  <c r="K344" i="1"/>
  <c r="M343" i="1"/>
  <c r="K343" i="1"/>
  <c r="M342" i="1"/>
  <c r="K342" i="1"/>
  <c r="M341" i="1"/>
  <c r="K341" i="1"/>
  <c r="M340" i="1"/>
  <c r="K340" i="1"/>
  <c r="M339" i="1"/>
  <c r="K339" i="1"/>
  <c r="M338" i="1"/>
  <c r="K338" i="1"/>
  <c r="M337" i="1"/>
  <c r="K337" i="1"/>
  <c r="M336" i="1"/>
  <c r="K336" i="1"/>
  <c r="M335" i="1"/>
  <c r="K335" i="1"/>
  <c r="M334" i="1"/>
  <c r="K334" i="1"/>
  <c r="M333" i="1"/>
  <c r="K333" i="1"/>
  <c r="M332" i="1"/>
  <c r="K332" i="1"/>
  <c r="M331" i="1"/>
  <c r="K331" i="1"/>
  <c r="M330" i="1"/>
  <c r="K330" i="1"/>
  <c r="M329" i="1"/>
  <c r="K329" i="1"/>
  <c r="M328" i="1"/>
  <c r="K328" i="1"/>
  <c r="M327" i="1"/>
  <c r="K327" i="1"/>
  <c r="M326" i="1"/>
  <c r="K326" i="1"/>
  <c r="M325" i="1"/>
  <c r="K325" i="1"/>
  <c r="M324" i="1"/>
  <c r="K324" i="1"/>
  <c r="M323" i="1"/>
  <c r="K323" i="1"/>
  <c r="M322" i="1"/>
  <c r="K322" i="1"/>
  <c r="M321" i="1"/>
  <c r="K321" i="1"/>
  <c r="M320" i="1"/>
  <c r="K320" i="1"/>
  <c r="M319" i="1"/>
  <c r="K319" i="1"/>
  <c r="M318" i="1"/>
  <c r="K318" i="1"/>
  <c r="M317" i="1"/>
  <c r="K317" i="1"/>
  <c r="M316" i="1"/>
  <c r="K316" i="1"/>
  <c r="M315" i="1"/>
  <c r="K315" i="1"/>
  <c r="K314" i="1"/>
  <c r="K313" i="1"/>
  <c r="M312" i="1"/>
  <c r="K312" i="1"/>
  <c r="M311" i="1"/>
  <c r="K311" i="1"/>
  <c r="M310" i="1"/>
  <c r="K310" i="1"/>
  <c r="M309" i="1"/>
  <c r="K309" i="1"/>
  <c r="M308" i="1"/>
  <c r="K308" i="1"/>
  <c r="M307" i="1"/>
  <c r="K307" i="1"/>
  <c r="M306" i="1"/>
  <c r="K306" i="1"/>
  <c r="M305" i="1"/>
  <c r="K305" i="1"/>
  <c r="M304" i="1"/>
  <c r="K304" i="1"/>
  <c r="M303" i="1"/>
  <c r="K303" i="1"/>
  <c r="M302" i="1"/>
  <c r="K302" i="1"/>
  <c r="M301" i="1"/>
  <c r="K301" i="1"/>
  <c r="M300" i="1"/>
  <c r="K300" i="1"/>
  <c r="M299" i="1"/>
  <c r="K299" i="1"/>
  <c r="M298" i="1"/>
  <c r="K298" i="1"/>
  <c r="M297" i="1"/>
  <c r="K297" i="1"/>
  <c r="M296" i="1"/>
  <c r="K296" i="1"/>
  <c r="M295" i="1"/>
  <c r="K295" i="1"/>
  <c r="M294" i="1"/>
  <c r="K294" i="1"/>
  <c r="M293" i="1"/>
  <c r="K293" i="1"/>
  <c r="M292" i="1"/>
  <c r="K292" i="1"/>
  <c r="M291" i="1"/>
  <c r="K291" i="1"/>
  <c r="M290" i="1"/>
  <c r="K290" i="1"/>
  <c r="M289" i="1"/>
  <c r="K289" i="1"/>
  <c r="M288" i="1"/>
  <c r="K288" i="1"/>
  <c r="M287" i="1"/>
  <c r="K287" i="1"/>
  <c r="M286" i="1"/>
  <c r="K286" i="1"/>
  <c r="M285" i="1"/>
  <c r="K285" i="1"/>
  <c r="M284" i="1"/>
  <c r="K284" i="1"/>
  <c r="M283" i="1"/>
  <c r="K283" i="1"/>
  <c r="M282" i="1"/>
  <c r="K282" i="1"/>
  <c r="M281" i="1"/>
  <c r="K281" i="1"/>
  <c r="M280" i="1"/>
  <c r="K280" i="1"/>
  <c r="M279" i="1"/>
  <c r="K279" i="1"/>
  <c r="M278" i="1"/>
  <c r="K278" i="1"/>
  <c r="M277" i="1"/>
  <c r="K277" i="1"/>
  <c r="M276" i="1"/>
  <c r="K276" i="1"/>
  <c r="M275" i="1"/>
  <c r="K275" i="1"/>
  <c r="M274" i="1"/>
  <c r="K274" i="1"/>
  <c r="M273" i="1"/>
  <c r="K273" i="1"/>
  <c r="M272" i="1"/>
  <c r="K272" i="1"/>
  <c r="M271" i="1"/>
  <c r="K271" i="1"/>
  <c r="M270" i="1"/>
  <c r="K270" i="1"/>
  <c r="M269" i="1"/>
  <c r="K269" i="1"/>
  <c r="M268" i="1"/>
  <c r="K268" i="1"/>
  <c r="M267" i="1"/>
  <c r="K267" i="1"/>
  <c r="M266" i="1"/>
  <c r="K266" i="1"/>
  <c r="M265" i="1"/>
  <c r="K265" i="1"/>
  <c r="M264" i="1"/>
  <c r="K264" i="1"/>
  <c r="M263" i="1"/>
  <c r="K263" i="1"/>
  <c r="M262" i="1"/>
  <c r="K262" i="1"/>
  <c r="M261" i="1"/>
  <c r="K261" i="1"/>
  <c r="M260" i="1"/>
  <c r="K260" i="1"/>
  <c r="M259" i="1"/>
  <c r="K259" i="1"/>
  <c r="M258" i="1"/>
  <c r="K258" i="1"/>
  <c r="M257" i="1"/>
  <c r="K257" i="1"/>
  <c r="M256" i="1"/>
  <c r="K256" i="1"/>
  <c r="M255" i="1"/>
  <c r="K255" i="1"/>
  <c r="M254" i="1"/>
  <c r="K254" i="1"/>
  <c r="M253" i="1"/>
  <c r="K253" i="1"/>
  <c r="M252" i="1"/>
  <c r="K252" i="1"/>
  <c r="M251" i="1"/>
  <c r="K251" i="1"/>
  <c r="M250" i="1"/>
  <c r="K250" i="1"/>
  <c r="M249" i="1"/>
  <c r="K249" i="1"/>
  <c r="M248" i="1"/>
  <c r="K248" i="1"/>
  <c r="M247" i="1"/>
  <c r="K247" i="1"/>
  <c r="M246" i="1"/>
  <c r="K246" i="1"/>
  <c r="M245" i="1"/>
  <c r="K245" i="1"/>
  <c r="M244" i="1"/>
  <c r="K244" i="1"/>
  <c r="M243" i="1"/>
  <c r="K243" i="1"/>
  <c r="M242" i="1"/>
  <c r="K242" i="1"/>
  <c r="M241" i="1"/>
  <c r="K241" i="1"/>
  <c r="M240" i="1"/>
  <c r="K240" i="1"/>
  <c r="M239" i="1"/>
  <c r="K239" i="1"/>
  <c r="M238" i="1"/>
  <c r="K238" i="1"/>
  <c r="M237" i="1"/>
  <c r="K237" i="1"/>
  <c r="M236" i="1"/>
  <c r="K236" i="1"/>
  <c r="M235" i="1"/>
  <c r="K235" i="1"/>
  <c r="M234" i="1"/>
  <c r="K234" i="1"/>
  <c r="M233" i="1"/>
  <c r="K233" i="1"/>
  <c r="M232" i="1"/>
  <c r="K232" i="1"/>
  <c r="M231" i="1"/>
  <c r="K231" i="1"/>
  <c r="M230" i="1"/>
  <c r="K230" i="1"/>
  <c r="M229" i="1"/>
  <c r="K229" i="1"/>
  <c r="M228" i="1"/>
  <c r="K228" i="1"/>
  <c r="M227" i="1"/>
  <c r="K227" i="1"/>
  <c r="M226" i="1"/>
  <c r="K226" i="1"/>
  <c r="M225" i="1"/>
  <c r="K225" i="1"/>
  <c r="M224" i="1"/>
  <c r="K224" i="1"/>
  <c r="M223" i="1"/>
  <c r="K223" i="1"/>
  <c r="M222" i="1"/>
  <c r="K222" i="1"/>
  <c r="M221" i="1"/>
  <c r="K221" i="1"/>
  <c r="M220" i="1"/>
  <c r="K220" i="1"/>
  <c r="M219" i="1"/>
  <c r="K219" i="1"/>
  <c r="M218" i="1"/>
  <c r="K218" i="1"/>
  <c r="M217" i="1"/>
  <c r="K217" i="1"/>
  <c r="M216" i="1"/>
  <c r="K216" i="1"/>
  <c r="M215" i="1"/>
  <c r="K215" i="1"/>
  <c r="M214" i="1"/>
  <c r="K214" i="1"/>
  <c r="M213" i="1"/>
  <c r="K213" i="1"/>
  <c r="M212" i="1"/>
  <c r="K212" i="1"/>
  <c r="M211" i="1"/>
  <c r="K211" i="1"/>
  <c r="M210" i="1"/>
  <c r="K210" i="1"/>
  <c r="M209" i="1"/>
  <c r="K209" i="1"/>
  <c r="M208" i="1"/>
  <c r="K208" i="1"/>
  <c r="M207" i="1"/>
  <c r="K207" i="1"/>
  <c r="M206" i="1"/>
  <c r="K206" i="1"/>
  <c r="M205" i="1"/>
  <c r="K205" i="1"/>
  <c r="M204" i="1"/>
  <c r="K204" i="1"/>
  <c r="M203" i="1"/>
  <c r="K203" i="1"/>
  <c r="M202" i="1"/>
  <c r="K202" i="1"/>
  <c r="M201" i="1"/>
  <c r="K201" i="1"/>
  <c r="M200" i="1"/>
  <c r="K200" i="1"/>
  <c r="M199" i="1"/>
  <c r="K199" i="1"/>
  <c r="M198" i="1"/>
  <c r="K198" i="1"/>
  <c r="M197" i="1"/>
  <c r="K197" i="1"/>
  <c r="M196" i="1"/>
  <c r="K196" i="1"/>
  <c r="M195" i="1"/>
  <c r="K195" i="1"/>
  <c r="M194" i="1"/>
  <c r="K194" i="1"/>
  <c r="M193" i="1"/>
  <c r="K193" i="1"/>
  <c r="M192" i="1"/>
  <c r="K192" i="1"/>
  <c r="M191" i="1"/>
  <c r="K191" i="1"/>
  <c r="M190" i="1"/>
  <c r="K190" i="1"/>
  <c r="M189" i="1"/>
  <c r="K189" i="1"/>
  <c r="M188" i="1"/>
  <c r="K188" i="1"/>
  <c r="M187" i="1"/>
  <c r="K187" i="1"/>
  <c r="M186" i="1"/>
  <c r="K186" i="1"/>
  <c r="M185" i="1"/>
  <c r="K185" i="1"/>
  <c r="M184" i="1"/>
  <c r="K184" i="1"/>
  <c r="M183" i="1"/>
  <c r="K183" i="1"/>
  <c r="M182" i="1"/>
  <c r="K182" i="1"/>
  <c r="M181" i="1"/>
  <c r="K181" i="1"/>
  <c r="M180" i="1"/>
  <c r="K180" i="1"/>
  <c r="M179" i="1"/>
  <c r="K179" i="1"/>
  <c r="M178" i="1"/>
  <c r="K178" i="1"/>
  <c r="M177" i="1"/>
  <c r="K177" i="1"/>
  <c r="M176" i="1"/>
  <c r="K176" i="1"/>
  <c r="M175" i="1"/>
  <c r="K175" i="1"/>
  <c r="M174" i="1"/>
  <c r="K174" i="1"/>
  <c r="M173" i="1"/>
  <c r="K173" i="1"/>
  <c r="M172" i="1"/>
  <c r="K172" i="1"/>
  <c r="M171" i="1"/>
  <c r="K171" i="1"/>
  <c r="M170" i="1"/>
  <c r="K170" i="1"/>
  <c r="M169" i="1"/>
  <c r="K169" i="1"/>
  <c r="M168" i="1"/>
  <c r="K168" i="1"/>
  <c r="M167" i="1"/>
  <c r="K167" i="1"/>
  <c r="M166" i="1"/>
  <c r="K166" i="1"/>
  <c r="M165" i="1"/>
  <c r="K165" i="1"/>
  <c r="M164" i="1"/>
  <c r="K164" i="1"/>
  <c r="M163" i="1"/>
  <c r="K163" i="1"/>
  <c r="M162" i="1"/>
  <c r="K162" i="1"/>
  <c r="M161" i="1"/>
  <c r="K161" i="1"/>
  <c r="M160" i="1"/>
  <c r="K160" i="1"/>
  <c r="M159" i="1"/>
  <c r="K159" i="1"/>
  <c r="M158" i="1"/>
  <c r="K158" i="1"/>
  <c r="M157" i="1"/>
  <c r="K157" i="1"/>
  <c r="M156" i="1"/>
  <c r="K156" i="1"/>
  <c r="M155" i="1"/>
  <c r="K155" i="1"/>
  <c r="M154" i="1"/>
  <c r="K154" i="1"/>
  <c r="M153" i="1"/>
  <c r="K153" i="1"/>
  <c r="M152" i="1"/>
  <c r="K152" i="1"/>
  <c r="M151" i="1"/>
  <c r="K151" i="1"/>
  <c r="M150" i="1"/>
  <c r="K150" i="1"/>
  <c r="M149" i="1"/>
  <c r="K149" i="1"/>
  <c r="M148" i="1"/>
  <c r="K148" i="1"/>
  <c r="M147" i="1"/>
  <c r="K147" i="1"/>
  <c r="M146" i="1"/>
  <c r="K146" i="1"/>
  <c r="M145" i="1"/>
  <c r="K145" i="1"/>
  <c r="M144" i="1"/>
  <c r="K144" i="1"/>
  <c r="M143" i="1"/>
  <c r="K143" i="1"/>
  <c r="M142" i="1"/>
  <c r="K142" i="1"/>
  <c r="M141" i="1"/>
  <c r="K141" i="1"/>
  <c r="M140" i="1"/>
  <c r="K140" i="1"/>
  <c r="M139" i="1"/>
  <c r="K139" i="1"/>
  <c r="M138" i="1"/>
  <c r="K138" i="1"/>
  <c r="M137" i="1"/>
  <c r="K137" i="1"/>
  <c r="M136" i="1"/>
  <c r="K136" i="1"/>
  <c r="M135" i="1"/>
  <c r="K135" i="1"/>
  <c r="M134" i="1"/>
  <c r="K134" i="1"/>
  <c r="M133" i="1"/>
  <c r="K133" i="1"/>
  <c r="M132" i="1"/>
  <c r="K132" i="1"/>
  <c r="M131" i="1"/>
  <c r="K131" i="1"/>
  <c r="M130" i="1"/>
  <c r="K130" i="1"/>
  <c r="M129" i="1"/>
  <c r="K129" i="1"/>
  <c r="M128" i="1"/>
  <c r="K128" i="1"/>
  <c r="M127" i="1"/>
  <c r="K127" i="1"/>
  <c r="M126" i="1"/>
  <c r="K126" i="1"/>
  <c r="M125" i="1"/>
  <c r="K125" i="1"/>
  <c r="M124" i="1"/>
  <c r="K124" i="1"/>
  <c r="M123" i="1"/>
  <c r="K123" i="1"/>
  <c r="M122" i="1"/>
  <c r="K122" i="1"/>
  <c r="M121" i="1"/>
  <c r="K121" i="1"/>
  <c r="M120" i="1"/>
  <c r="K120" i="1"/>
  <c r="M119" i="1"/>
  <c r="K119" i="1"/>
  <c r="M118" i="1"/>
  <c r="K118" i="1"/>
  <c r="M117" i="1"/>
  <c r="K117" i="1"/>
  <c r="M116" i="1"/>
  <c r="K116" i="1"/>
  <c r="M115" i="1"/>
  <c r="K115" i="1"/>
  <c r="M114" i="1"/>
  <c r="K114" i="1"/>
  <c r="M113" i="1"/>
  <c r="K113" i="1"/>
  <c r="M112" i="1"/>
  <c r="K112" i="1"/>
  <c r="M111" i="1"/>
  <c r="K111" i="1"/>
  <c r="M110" i="1"/>
  <c r="K110" i="1"/>
  <c r="M109" i="1"/>
  <c r="K109" i="1"/>
  <c r="M108" i="1"/>
  <c r="K108" i="1"/>
  <c r="M107" i="1"/>
  <c r="K107" i="1"/>
  <c r="M106" i="1"/>
  <c r="K106" i="1"/>
  <c r="M105" i="1"/>
  <c r="K105" i="1"/>
  <c r="M104" i="1"/>
  <c r="K104" i="1"/>
  <c r="M103" i="1"/>
  <c r="K103" i="1"/>
  <c r="M102" i="1"/>
  <c r="K102" i="1"/>
  <c r="M101" i="1"/>
  <c r="K101" i="1"/>
  <c r="M100" i="1"/>
  <c r="K100" i="1"/>
  <c r="M99" i="1"/>
  <c r="K99" i="1"/>
  <c r="M98" i="1"/>
  <c r="K98" i="1"/>
  <c r="M97" i="1"/>
  <c r="K97" i="1"/>
  <c r="M96" i="1"/>
  <c r="K96" i="1"/>
  <c r="M95" i="1"/>
  <c r="K95" i="1"/>
  <c r="M94" i="1"/>
  <c r="K94" i="1"/>
  <c r="M93" i="1"/>
  <c r="K93" i="1"/>
  <c r="M92" i="1"/>
  <c r="K92" i="1"/>
  <c r="M91" i="1"/>
  <c r="K91" i="1"/>
  <c r="M90" i="1"/>
  <c r="K90" i="1"/>
  <c r="M89" i="1"/>
  <c r="K89" i="1"/>
  <c r="M88" i="1"/>
  <c r="K88" i="1"/>
  <c r="M87" i="1"/>
  <c r="K87" i="1"/>
  <c r="M86" i="1"/>
  <c r="K86" i="1"/>
  <c r="M85" i="1"/>
  <c r="K85" i="1"/>
  <c r="M84" i="1"/>
  <c r="K84" i="1"/>
  <c r="M83" i="1"/>
  <c r="K83" i="1"/>
  <c r="M82" i="1"/>
  <c r="K82" i="1"/>
  <c r="M81" i="1"/>
  <c r="K81" i="1"/>
  <c r="K80" i="1"/>
  <c r="M79" i="1"/>
  <c r="K79" i="1"/>
  <c r="M78" i="1"/>
  <c r="K78" i="1"/>
  <c r="M77" i="1"/>
  <c r="K77" i="1"/>
  <c r="M76" i="1"/>
  <c r="K76" i="1"/>
  <c r="M75" i="1"/>
  <c r="K75" i="1"/>
  <c r="M74" i="1"/>
  <c r="K74" i="1"/>
  <c r="M73" i="1"/>
  <c r="K73" i="1"/>
  <c r="M72" i="1"/>
  <c r="K72" i="1"/>
  <c r="M71" i="1"/>
  <c r="K71" i="1"/>
  <c r="M70" i="1"/>
  <c r="K70" i="1"/>
  <c r="M69" i="1"/>
  <c r="K69" i="1"/>
  <c r="M68" i="1"/>
  <c r="K68" i="1"/>
  <c r="M67" i="1"/>
  <c r="K67" i="1"/>
  <c r="M66" i="1"/>
  <c r="K66" i="1"/>
  <c r="M65" i="1"/>
  <c r="K65" i="1"/>
  <c r="M64" i="1"/>
  <c r="K64" i="1"/>
  <c r="M63" i="1"/>
  <c r="K63" i="1"/>
  <c r="M62" i="1"/>
  <c r="K62" i="1"/>
  <c r="M61" i="1"/>
  <c r="K61" i="1"/>
  <c r="M60" i="1"/>
  <c r="K60" i="1"/>
  <c r="M59" i="1"/>
  <c r="K59" i="1"/>
  <c r="M58" i="1"/>
  <c r="K58" i="1"/>
  <c r="M57" i="1"/>
  <c r="K57" i="1"/>
  <c r="M56" i="1"/>
  <c r="K56" i="1"/>
  <c r="M55" i="1"/>
  <c r="K55" i="1"/>
  <c r="K54" i="1"/>
  <c r="M53" i="1"/>
  <c r="K53" i="1"/>
  <c r="M52" i="1"/>
  <c r="K52" i="1"/>
  <c r="M51" i="1"/>
  <c r="K51" i="1"/>
  <c r="M50" i="1"/>
  <c r="K50" i="1"/>
  <c r="M49" i="1"/>
  <c r="K49" i="1"/>
  <c r="M48" i="1"/>
  <c r="K48" i="1"/>
  <c r="M47" i="1"/>
  <c r="K47" i="1"/>
  <c r="M46" i="1"/>
  <c r="K46" i="1"/>
  <c r="M45" i="1"/>
  <c r="K45" i="1"/>
  <c r="M44" i="1"/>
  <c r="K44" i="1"/>
  <c r="M43" i="1"/>
  <c r="K43" i="1"/>
  <c r="M42" i="1"/>
  <c r="K42" i="1"/>
  <c r="M41" i="1"/>
  <c r="K41" i="1"/>
  <c r="M40" i="1"/>
  <c r="K40" i="1"/>
  <c r="M39" i="1"/>
  <c r="K39" i="1"/>
  <c r="M38" i="1"/>
  <c r="K38" i="1"/>
  <c r="M37" i="1"/>
  <c r="K37" i="1"/>
  <c r="M36" i="1"/>
  <c r="K36" i="1"/>
  <c r="M35" i="1"/>
  <c r="K35" i="1"/>
  <c r="M34" i="1"/>
  <c r="K34" i="1"/>
  <c r="K33" i="1"/>
  <c r="M32" i="1"/>
  <c r="K32" i="1"/>
  <c r="M31" i="1"/>
  <c r="K31" i="1"/>
  <c r="M30" i="1"/>
  <c r="K30" i="1"/>
  <c r="M29" i="1"/>
  <c r="K29" i="1"/>
  <c r="M28" i="1"/>
  <c r="K28" i="1"/>
  <c r="M27" i="1"/>
  <c r="K27" i="1"/>
  <c r="M26" i="1"/>
  <c r="K26" i="1"/>
  <c r="M25" i="1"/>
  <c r="K25" i="1"/>
  <c r="M24" i="1"/>
  <c r="K24" i="1"/>
  <c r="M23" i="1"/>
  <c r="K23" i="1"/>
  <c r="M22" i="1"/>
  <c r="K22" i="1"/>
  <c r="M21" i="1"/>
  <c r="K21" i="1"/>
  <c r="M20" i="1"/>
  <c r="K20" i="1"/>
  <c r="M19" i="1"/>
  <c r="K19" i="1"/>
  <c r="M18" i="1"/>
  <c r="K18" i="1"/>
  <c r="M17" i="1"/>
  <c r="K17" i="1"/>
  <c r="M16" i="1"/>
  <c r="K16" i="1"/>
  <c r="M15" i="1"/>
  <c r="K15" i="1"/>
  <c r="M14" i="1"/>
  <c r="K14" i="1"/>
  <c r="M13" i="1"/>
  <c r="K13" i="1"/>
  <c r="M12" i="1"/>
  <c r="K12" i="1"/>
  <c r="M11" i="1"/>
  <c r="K11" i="1"/>
  <c r="M10" i="1"/>
  <c r="K10" i="1"/>
  <c r="M9" i="1"/>
  <c r="K9" i="1"/>
  <c r="M8" i="1"/>
  <c r="K8" i="1"/>
  <c r="M7" i="1"/>
  <c r="K7" i="1"/>
  <c r="M6" i="1"/>
  <c r="K6" i="1"/>
  <c r="M5" i="1"/>
  <c r="K5" i="1"/>
  <c r="M4" i="1"/>
  <c r="K4" i="1"/>
  <c r="M3" i="1"/>
  <c r="K3" i="1"/>
  <c r="M2" i="1"/>
  <c r="K2" i="1"/>
  <c r="M314" i="1" l="1"/>
  <c r="M33" i="1"/>
  <c r="M54" i="1"/>
  <c r="M80" i="1"/>
  <c r="M313" i="1"/>
</calcChain>
</file>

<file path=xl/sharedStrings.xml><?xml version="1.0" encoding="utf-8"?>
<sst xmlns="http://schemas.openxmlformats.org/spreadsheetml/2006/main" count="1507" uniqueCount="140">
  <si>
    <t>Etiquetas de fila</t>
  </si>
  <si>
    <t>Suma de Horas_oper_dia</t>
  </si>
  <si>
    <t>Suma de Horas en Stand By</t>
  </si>
  <si>
    <t>Suma de Energia_kWh_dia</t>
  </si>
  <si>
    <t>Suma de Horas_PP</t>
  </si>
  <si>
    <t>Suma de Horas_PF_contr</t>
  </si>
  <si>
    <t>Suma de Horas_PF_cli</t>
  </si>
  <si>
    <t>Suma de Horas_cal_dia</t>
  </si>
  <si>
    <t>Suma de Falla_evento</t>
  </si>
  <si>
    <t>CPW01</t>
  </si>
  <si>
    <t>CPW02</t>
  </si>
  <si>
    <t>CPW03</t>
  </si>
  <si>
    <t>CPW04</t>
  </si>
  <si>
    <t>CPW05</t>
  </si>
  <si>
    <t>CPW06</t>
  </si>
  <si>
    <t>CPW07</t>
  </si>
  <si>
    <t>G101V</t>
  </si>
  <si>
    <t>G102J</t>
  </si>
  <si>
    <t>G102K</t>
  </si>
  <si>
    <t>JIN-01</t>
  </si>
  <si>
    <t>JIN-02</t>
  </si>
  <si>
    <t>JIN-10</t>
  </si>
  <si>
    <t>JIN-11</t>
  </si>
  <si>
    <t>JIN-12</t>
  </si>
  <si>
    <t>Total general</t>
  </si>
  <si>
    <t>Fecha</t>
  </si>
  <si>
    <t>Contratista</t>
  </si>
  <si>
    <t>Locacion</t>
  </si>
  <si>
    <t>Equipo_Tag</t>
  </si>
  <si>
    <t>Horas_oper_dia</t>
  </si>
  <si>
    <t>Horas en Stand By</t>
  </si>
  <si>
    <t>Energia_kWh_dia</t>
  </si>
  <si>
    <t>Horas_PP</t>
  </si>
  <si>
    <t>Horas_PF_contr</t>
  </si>
  <si>
    <t>Horas_PF_cli</t>
  </si>
  <si>
    <t>Horas_cal_dia</t>
  </si>
  <si>
    <t>Falla_evento</t>
  </si>
  <si>
    <t>Imputado</t>
  </si>
  <si>
    <t>Observaciones</t>
  </si>
  <si>
    <t>PLAN DE ACCIÓN</t>
  </si>
  <si>
    <t>COPOWER</t>
  </si>
  <si>
    <t>COSTAYACO</t>
  </si>
  <si>
    <t>VONU</t>
  </si>
  <si>
    <t>Stby baja presion de gas.</t>
  </si>
  <si>
    <t>Sale para mantenimiento semanal de MRU posteriormente presenta detonación al momento de iniciar en línea, el cual nos produjo daño en la integridad de el equipo. Pendiente procedimiento de estabialización de gas para generación.</t>
  </si>
  <si>
    <t>Stanby por que se cambio de flujo de gas de MRU a MQT.</t>
  </si>
  <si>
    <t>Pendiente definir con copower horas de standby - orden de generencia de no arrancar hasta tener información de SOE.</t>
  </si>
  <si>
    <t>Apoyo a salida de equipos a gas.</t>
  </si>
  <si>
    <t xml:space="preserve">Stanby por baja presión de gas CYC 11pm </t>
  </si>
  <si>
    <t>Falla en el sistema de admision.</t>
  </si>
  <si>
    <t>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t>
  </si>
  <si>
    <t>Cambio de intercooler por exceso de reciduo de secuestrante. Pendiente reporte de fallo.</t>
  </si>
  <si>
    <t>Stanby por baja presion de CYC debido a estabilidad de pozos.</t>
  </si>
  <si>
    <t>Respaldo por salida de campo SD.</t>
  </si>
  <si>
    <t>Mantenimiento programado M1.</t>
  </si>
  <si>
    <t>Standby por baja presion de costayaco a espera de estabilización de pozos.</t>
  </si>
  <si>
    <t>Hora de operación posterior a el mantenimiento debido a daño en el tren de admision.</t>
  </si>
  <si>
    <t>Respaldo al CPW01.</t>
  </si>
  <si>
    <t>Tres horas disponible por baja presion de gas Costayaco.</t>
  </si>
  <si>
    <t xml:space="preserve">Sale para mantenimiento correctivo por exostacion del dia 2-06-2026, al momento de iniciar en linea el cual nos produjo daño en la integridad de el equipo, afectando el flexible del multiple de gases de escape </t>
  </si>
  <si>
    <t>Siete horas disponible por baja presion de gas Costayaco.</t>
  </si>
  <si>
    <t>Sale de línea equipo JINAN-01 parada manual, se realizará cambio de válvula 3/4" por parte de Confipetrol
Tiempo estimado 1 hora.</t>
  </si>
  <si>
    <t>Sale de linea equipo CPW010 por actividades programadas de maniobras de conexion salida de potencia generadores cpw-10,cpw-11 y cpw-12 al tablero 480 V Ryctel copower.</t>
  </si>
  <si>
    <t>FDL por SD detonación. Se evidencia en las tendencias de operación del equipo caída de presión de gas.se realiza cambio de base y rele k4, alimentación válvula shutoff suministro de alimentación gas del equipo.</t>
  </si>
  <si>
    <t>Sale de linea equipo CPW010, Por solicitud de CCM por actividades programadas de maniobras de conexion salida de potencia generadores cpw-10,cpw-11 y cpw-12 al tablero 480 V Ryctel copower.</t>
  </si>
  <si>
    <t>Se realiza mantenimiento preventivo programado M1</t>
  </si>
  <si>
    <t>FDL equipo por maniobras por personal de proyectos en tablero de transferencia equipo cpw 06-07</t>
  </si>
  <si>
    <t>Respaldo salida del CPW06-07</t>
  </si>
  <si>
    <t xml:space="preserve"> Sale de linea equipo CPW010, 18:30 Se informa equipo disponible para magnetizar transformador 5MVA. Se solicita por Copower realizar el arranque al dia siguiente debido a falta de personal para el arranque.</t>
  </si>
  <si>
    <t>FDL por mantenimiento semanal dela MRU - Se presenta demora al ingreso del equipo Copower aun sin tiempos concretos mantenimiento de la MRU 2:17 ingreso alrededor de las 2 horas adiciónales sin sustento de la demora.</t>
  </si>
  <si>
    <t>FDL por mantenimiento semanal de la MRU //  pasa a operar con suministro de gas Moqueta</t>
  </si>
  <si>
    <t>Respaldo por salida de la MRU</t>
  </si>
  <si>
    <t>Equipos entregado a GTE para inicio de arranque sobre las 15:00 se realiza verifiación y pruebas de magnetización de equipo.</t>
  </si>
  <si>
    <t>14:20 hrs Parada manual equipo CPW07 por protección presenta altas vivraciones y se nota alta oscilación de carga al pasar la turbina a diesel se informa a CCM.
14:50 hrs Ingresa en linea equipo en coordinación con CCM - pendiente verificar eventos similares cambio de glp a Diesel. debido a que no es claro la salida de la unidad bajo lo presetado es una evidendia de falla del equipo al momento de oscilación en los equipos del sistema de generación. Fecha maxima para entrega de evidencias 16-jun.</t>
  </si>
  <si>
    <t>Respaldo por salida del JIN-10</t>
  </si>
  <si>
    <t xml:space="preserve"> 09:36 hrs sale de linea equipo J01 por cambio de gas vonu a cyc 19
 09:50 hrs ingresa en linea equipo con gas cyc19.
16:00 hrs sale de linea equipo J01 por cambio de gas cyc 19 a vonu
16:10 hrs ingresa en linea equipo con gas vonu</t>
  </si>
  <si>
    <t>09:36 hrs sale de linea equipo J02 por mantenimiento programado. M2                                                
16:20 ingresa en linea con gas cyc 19</t>
  </si>
  <si>
    <t xml:space="preserve"> equipo en stop  CPW010, Por solicitud de CCM por actividades programadas de maniobras de conexion salida de potencia generadores cpw-10,cpw-11 y cpw-12 al tablero 480 V Ryctel copower. // Ingresa en linea a las 19:59 horas.  09:44 hrs equipo CPW010 Sale de linea por pruebas del equipo CPW011.</t>
  </si>
  <si>
    <t>Sale por detonación equipo 15/06 sin reporte de falla.</t>
  </si>
  <si>
    <t>Equipo en eStand by debido a pruebas con cargar JIN-11 y JIN-12</t>
  </si>
  <si>
    <t>SD por falla del SIN</t>
  </si>
  <si>
    <t>pruebas con carga jin 11-12</t>
  </si>
  <si>
    <t>ingreso a operación Stand by por dsiponibilidad de gas</t>
  </si>
  <si>
    <t>Opeación en modo ISLA falla del SIN</t>
  </si>
  <si>
    <t>Disponibilidad de gas CYC</t>
  </si>
  <si>
    <t>SD general de Campo por falla del SIN - Pendiente verificar tiempos y procedimiento de arranque 6 horas para arrancar.</t>
  </si>
  <si>
    <t>SD general de Campo por falla del SIN</t>
  </si>
  <si>
    <t>Traslado de servicios auxiliares Equipos J320</t>
  </si>
  <si>
    <t>Traslado de servicios auxiliares Equipos J320 - pasa a operar con gas MQT+</t>
  </si>
  <si>
    <t>Respaldo manionbra MRU - operación ISLA</t>
  </si>
  <si>
    <t>7 horas de mantenimiento preventivo M2</t>
  </si>
  <si>
    <t>5:10 am a 6:10 am salida por baja presion de gas CYC 19  4 psi  al momento de sacar el equipo manualmente</t>
  </si>
  <si>
    <t>Salen de linea por baja presion de gas cyc 13 psi debido a fuertes lluvias en la madrugada</t>
  </si>
  <si>
    <t xml:space="preserve">Sale de linea para recuperar presion de gas CYC </t>
  </si>
  <si>
    <t>19:50 pm estanby para recuperar presion de gas CYC  solicitud de operador de CCM</t>
  </si>
  <si>
    <t xml:space="preserve">10:00 ingresa en linea a peticion de CCM en reparto de carga </t>
  </si>
  <si>
    <t xml:space="preserve">Sale de linea para recuperar presion de gas CYC  por fuertes lluvias </t>
  </si>
  <si>
    <t xml:space="preserve">Sale de linea para recuperar presion de gas CYC  por fuertes lluvias  13 PSI Y FUERTES LLUVIAS </t>
  </si>
  <si>
    <t xml:space="preserve">Sale de linea para recuperar presion de gas CYC  </t>
  </si>
  <si>
    <t>7 horas de mantenimiento preventivo programado M1.</t>
  </si>
  <si>
    <t>Ingresa en linea en respaldo a baja presion de gas CyC</t>
  </si>
  <si>
    <t>Fuera de linea para recuperar presion de gas cyc</t>
  </si>
  <si>
    <t>standby por mantenimiento semanal de MRU 18 horas</t>
  </si>
  <si>
    <t>se presentan dos salidas en las cuales se abre el totalizador principal de tablero de auxiliares 480V-Pendiente verificar reprote de configuración de protecciónes</t>
  </si>
  <si>
    <t>8:10 pm  4 horas en stanby por daño en tuberia de cyc 19 inicia nuevamente a las 11:52 pm</t>
  </si>
  <si>
    <t>05:13 EEP reporta disparo de reconectador línea 34.5 Kv Jauno - Piamonte, FDL generación CPW. FDL manual sistema inyección para control de cargas,  8:16 hrs equipo cpw01 en coordinación con CCM , sale de línea equipos cpw alineados con gas MRU+CHILLER,  causa corrección fuga de aceite en sistema QUINCY.  10:14  hrs ingresa a linea.</t>
  </si>
  <si>
    <t>05:13 EEP reporta disparo de reconectador línea 34.5 Kv Jauno - Piamonte, FDL generación CPW. FDL manual sistema inyección para control de cargas,  8:11 hrs equipo cpw02 en coordinación con CCM , sale de línea equipos cpw alineados con gas MRU+CHILLER,  causa corrección fuga de aceite en sistema QUINCY. 10:15  hrs ingresa a linea.  16:05 hr sale de linea equipo cpw02 por baja presion gas mru</t>
  </si>
  <si>
    <t>05:13 EEP reporta disparo de reconectador línea 34.5 Kv Jauno - Piamonte, FDL generación CPW. FDL manual sistema inyección para control de cargas</t>
  </si>
  <si>
    <t>8:19 hrs equipo cpw07 en coordinación con CCM , sale de línea equipos cpw alineados con gas MRU+CHILLER,  causa corrección fuga de aceite en sistema QUINCY.  10:13  hrs ingresa a linea.</t>
  </si>
  <si>
    <t>7:58 hrs equipo G101V en coordinación con CCM , ingresa en línea por maniobra MRU.  10:17  hrs sale de  linea.</t>
  </si>
  <si>
    <t>7:58 hrs equipo G102J en coordinación con CCM , ingresa en línea por maniobra MRU.  10:18  hrs sale de  linea.</t>
  </si>
  <si>
    <t>8:01 hrs equipo G102k en coordinación con CCM , ingresa en línea por maniobra MRU.  08:30  hrs sale de  linea.</t>
  </si>
  <si>
    <t xml:space="preserve">10:43 hrs equipo jinan 2  en coordinación con CCM sale de línea equipo Jinan 02 por mantenimiento cyc 19.  16:20 hr equipo ingresa a linea </t>
  </si>
  <si>
    <t>11:30 hrs equipo cpw010 sale de linea por mantenimiento programado.  15:51 hrs equipo ingresa en linea con gas mru.  Fuera de linea para recuperar presion de gas cyc</t>
  </si>
  <si>
    <t>11:25 hrs equipo cpw011 sale de linea por cambio de gas cyc a MRU. Ingresa a linea 12:08.  Fuera de linea para recuperar presion de gas cyc</t>
  </si>
  <si>
    <t>11:30 hrs equipo cpw012 sale de linea por cambio de gas cyc a MRU. Ingresa a linea 12:21.  Fuera de linea para recuperar presion de gas cyc</t>
  </si>
  <si>
    <t>11:30:00 a. m. salen de lienas equipos CPW001,CPW002,CPW003,CPW007,CPW010 y CPW011, por protección parada MRU. Sale MRU de operación por activación de nivel alto en tanque de NGL La producción de NGL es mayor a lo que esta evacuando la bomba blackmer, por lo que el nivel aumenta considerablemente hasta activar el switch de alto nivel.</t>
  </si>
  <si>
    <t>12:35:00 p. m. hrs ingresa en linea equipo G102J como respaldo por salida de equipos alineados con gas MRU. 14:47:00 hrs Por solicitud de CCM sale de línea equipo Diesel G102J, ingresan en línea equipos CPW010,CPW011, y CPW012.</t>
  </si>
  <si>
    <t>12:36:00 p. m. hrs ingresa en linea equipo G102K como respaldo por salida de equipos alineados con gas MRU.</t>
  </si>
  <si>
    <t>01:00 FDL generación a gas CPW 01-02-03-04-05-06-07- Jinan 10 por disparo de C9 y reconectador RX por sobrecorriente. FDL - Parada Externa - Coordinación por parte de GTE</t>
  </si>
  <si>
    <t xml:space="preserve">01:00 FDL generación a gas CPW 01-02-03-04-05-06-07- Jinan 10 por disparo de C9 y reconectador RX por sobrecorriente. FDL. 13:26:00 p. m. se coordina con CCM se realiza el apagado manual equipos , CPW-04, 05 y 06,  alineados con gas MQT, por maniobra de ingresa Valvula  controladora fhisher. </t>
  </si>
  <si>
    <t>01:00 FDL generación a gas CPW 01-02-03-04-05-06-07- Jinan 10 por disparo de C9 y reconectador RX por sobrecorriente. FDL</t>
  </si>
  <si>
    <t xml:space="preserve">FDL equipos G56 &amp; 57,  se presenta perturbacion en la red generando elevacion del voltaje y potencia reactiva de los generadores CPW06 &amp; 07, los cuales salen de linea, el voltaje llego a 660 vac entre fases, a su vez la frecuencia cayo a 56 Hz. </t>
  </si>
  <si>
    <t>Equipo disponible por baja presion de gas Costayaco</t>
  </si>
  <si>
    <t>7:14hr sale de linea equipo cpw01 por salida MRU. 8:28 hr ingresa a linea modo reparto de carga</t>
  </si>
  <si>
    <t>7:14hr sale de linea equipo cpw02 por salida MRU. 8:26 hr ingresa a linea modo reparto de carga</t>
  </si>
  <si>
    <t>7:14hr sale de linea equipo cpw03 por salida MRU. 8:23 hr ingresa a linea modo reparto de carga</t>
  </si>
  <si>
    <t> </t>
  </si>
  <si>
    <t>7:33hr sale de linea equipo cpw05  por parada manual entra en portencia inversa y falla en la gobernación.  8:09 hr ingresa a linea modo reparto de carga</t>
  </si>
  <si>
    <t>7:31hr sale de linea equipo cpw06  sale de linea por sobrecarga.  7:46 hr ingresa a linea modo reparto de carga</t>
  </si>
  <si>
    <t>7:14hr sale de linea equipo cpw07 por salida MRU. 8:20 hr ingresa a linea modo reparto de carga</t>
  </si>
  <si>
    <t>Entran en linea como respaldo, por salida de los equipos de gas asociados a gas tratado. FDL MRU por perturbacion en la red.</t>
  </si>
  <si>
    <t>11:30hr sale de linea equipo cpw010 a solicitud de ccm por baja presion de gas cyc // Equipo disponible por baja presion de gas Costayaco</t>
  </si>
  <si>
    <t>12:48hr equipo cpw-12 ingresa en linea, alineado con gas CYC. En modo reparto de carga // Equipo disponible por baja presion de gas Costayaco</t>
  </si>
  <si>
    <t>12:50:00 p. m. A solicitud del CCM, ingresa en linea equipo Jinan-10 con gas CYC.// Equipo disponible por baja presion de gas Costayaco</t>
  </si>
  <si>
    <t>14:34:00 p.m.  hrs A solicitud del CCM, sale de línea Equipo CPW-12 parada manual por caída de presión de gas CYC. // Equipo disponible por baja presion de gas Costayaco</t>
  </si>
  <si>
    <t>7:11:00 a. m salen de linea equipos Cpw01-02-03-07 por salida de MRU, equipos en stan by disponibles por por mtto programado de la MRU.</t>
  </si>
  <si>
    <t>09:21:00 hrs en coordinación con CCM sale de línea equipo CPW05, Maniobra para presurizar Tanques GLP.  10:14:00 hrs en coordinación con CCM ingresa en línea equipo CPW05, finaliza maniobra prezurizar tanques.</t>
  </si>
  <si>
    <t>7:28:00 a. m. ingresa en linea CPW011, por solicitud de ccm por mantnimiento programado de la MRU.
10:10:00 hrs A solicitud del CCM, salen de  línea equipo CPW11, ingresa en línea MRU en modo pesado. // Equipo disponible por baja presion de gas Costayaco</t>
  </si>
  <si>
    <t>7:41:00 a. m. ingresa en linea CPW012, por solicitud de ccm por mantnimiento programado de la MRU.10:10 hrs A solicitud del CCM, salen de  línea equipo CPW12, ingresa en línea MRU en modo pesado.  // Equipo disponible por baja presion de gas Costayaco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</si>
</sst>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Aptos Narrow"/>
      <family val="2"/>
      <scheme val="minor"/>
    </font>
    <font>
      <b/>
      <sz val="11"/>
      <color rgb="FFFFFFFF"/>
      <name val="Calibri"/>
      <family val="2"/>
      <charset val="1"/>
    </font>
  </fonts>
  <fills count="3">
    <fill>
      <patternFill patternType="none"/>
    </fill>
    <fill>
      <patternFill patternType="gray125"/>
    </fill>
    <fill>
      <patternFill patternType="solid">
        <fgColor rgb="FF1F4E79"/>
        <bgColor rgb="FF003366"/>
      </patternFill>
    </fill>
  </fills>
  <borders count="2">
    <border>
      <left/>
      <right/>
      <top/>
      <bottom/>
      <diagonal/>
    </border>
    <border>
      <left style="medium">
        <color rgb="FF000000"/>
      </left>
      <right style="medium">
        <color rgb="FF000000"/>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164" fontId="0" fillId="0" borderId="0" xfId="0" applyNumberFormat="1"/>
    <xf numFmtId="0" fontId="0" fillId="0" borderId="1" xfId="0" applyBorder="1" applyAlignment="1">
      <alignment horizontal="left"/>
    </xf>
    <xf numFmtId="0" fontId="0" fillId="0" borderId="1" xfId="0" applyBorder="1"/>
    <xf numFmtId="1" fontId="0" fillId="0" borderId="0" xfId="0" applyNumberFormat="1"/>
    <xf numFmtId="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POWER_USER" refreshedDate="46220.443576273145" createdVersion="8" refreshedVersion="8" minRefreshableVersion="3" recordCount="428" xr:uid="{287C9E62-85C4-410B-AC07-2A8CCCF28E04}">
  <cacheSource type="worksheet">
    <worksheetSource ref="A1:N429" sheet="Hoja1"/>
  </cacheSource>
  <cacheFields count="14">
    <cacheField name="Fecha" numFmtId="164">
      <sharedItems containsSemiMixedTypes="0" containsNonDate="0" containsDate="1" containsString="0" minDate="2026-06-01T00:00:00" maxDate="2026-07-01T00:00:00"/>
    </cacheField>
    <cacheField name="Contratista" numFmtId="0">
      <sharedItems/>
    </cacheField>
    <cacheField name="Locacion" numFmtId="0">
      <sharedItems/>
    </cacheField>
    <cacheField name="Equipo_Tag" numFmtId="0">
      <sharedItems count="15">
        <s v="CPW01"/>
        <s v="CPW02"/>
        <s v="CPW03"/>
        <s v="CPW04"/>
        <s v="CPW05"/>
        <s v="CPW06"/>
        <s v="CPW07"/>
        <s v="G101V"/>
        <s v="G102J"/>
        <s v="G102K"/>
        <s v="JIN-01"/>
        <s v="JIN-02"/>
        <s v="JIN-10"/>
        <s v="JIN-11"/>
        <s v="JIN-12"/>
      </sharedItems>
    </cacheField>
    <cacheField name="Horas_oper_dia" numFmtId="0">
      <sharedItems containsSemiMixedTypes="0" containsString="0" containsNumber="1" containsInteger="1" minValue="0" maxValue="24"/>
    </cacheField>
    <cacheField name="Horas en Stand By" numFmtId="0">
      <sharedItems containsSemiMixedTypes="0" containsString="0" containsNumber="1" containsInteger="1" minValue="0" maxValue="24"/>
    </cacheField>
    <cacheField name="Energia_kWh_dia" numFmtId="0">
      <sharedItems containsSemiMixedTypes="0" containsString="0" containsNumber="1" minValue="0" maxValue="22805"/>
    </cacheField>
    <cacheField name="Horas_PP" numFmtId="0">
      <sharedItems containsSemiMixedTypes="0" containsString="0" containsNumber="1" containsInteger="1" minValue="0" maxValue="7"/>
    </cacheField>
    <cacheField name="Horas_PF_contr" numFmtId="0">
      <sharedItems containsSemiMixedTypes="0" containsString="0" containsNumber="1" containsInteger="1" minValue="0" maxValue="5"/>
    </cacheField>
    <cacheField name="Horas_PF_cli" numFmtId="0">
      <sharedItems containsSemiMixedTypes="0" containsString="0" containsNumber="1" containsInteger="1" minValue="0" maxValue="24"/>
    </cacheField>
    <cacheField name="Horas_cal_dia" numFmtId="0">
      <sharedItems containsString="0" containsBlank="1" containsNumber="1" containsInteger="1" minValue="24" maxValue="24"/>
    </cacheField>
    <cacheField name="Falla_evento" numFmtId="0">
      <sharedItems containsSemiMixedTypes="0" containsString="0" containsNumber="1" containsInteger="1" minValue="0" maxValue="1"/>
    </cacheField>
    <cacheField name="Imputado" numFmtId="0">
      <sharedItems count="2">
        <s v=""/>
        <e v="#REF!"/>
      </sharedItems>
    </cacheField>
    <cacheField name="Observacion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8">
  <r>
    <d v="2026-06-01T00:00:00"/>
    <s v="COPOWER"/>
    <s v="COSTAYACO"/>
    <x v="0"/>
    <n v="24"/>
    <n v="0"/>
    <n v="15194"/>
    <n v="0"/>
    <n v="0"/>
    <n v="0"/>
    <n v="24"/>
    <n v="0"/>
    <x v="0"/>
    <m/>
  </r>
  <r>
    <d v="2026-06-01T00:00:00"/>
    <s v="COPOWER"/>
    <s v="COSTAYACO"/>
    <x v="1"/>
    <n v="24"/>
    <n v="0"/>
    <n v="15399"/>
    <n v="0"/>
    <n v="0"/>
    <n v="0"/>
    <n v="24"/>
    <n v="0"/>
    <x v="0"/>
    <m/>
  </r>
  <r>
    <d v="2026-06-01T00:00:00"/>
    <s v="COPOWER"/>
    <s v="COSTAYACO"/>
    <x v="2"/>
    <n v="24"/>
    <n v="0"/>
    <n v="15288"/>
    <n v="0"/>
    <n v="0"/>
    <n v="0"/>
    <n v="24"/>
    <n v="0"/>
    <x v="0"/>
    <m/>
  </r>
  <r>
    <d v="2026-06-01T00:00:00"/>
    <s v="COPOWER"/>
    <s v="COSTAYACO"/>
    <x v="3"/>
    <n v="24"/>
    <n v="0"/>
    <n v="13174"/>
    <n v="0"/>
    <n v="0"/>
    <n v="0"/>
    <n v="24"/>
    <n v="0"/>
    <x v="0"/>
    <m/>
  </r>
  <r>
    <d v="2026-06-01T00:00:00"/>
    <s v="COPOWER"/>
    <s v="COSTAYACO"/>
    <x v="4"/>
    <n v="24"/>
    <n v="0"/>
    <n v="20966"/>
    <n v="0"/>
    <n v="0"/>
    <n v="0"/>
    <n v="24"/>
    <n v="0"/>
    <x v="0"/>
    <m/>
  </r>
  <r>
    <d v="2026-06-01T00:00:00"/>
    <s v="COPOWER"/>
    <s v="COSTAYACO"/>
    <x v="5"/>
    <n v="20"/>
    <n v="4"/>
    <n v="13240"/>
    <n v="0"/>
    <n v="0"/>
    <n v="0"/>
    <n v="24"/>
    <n v="0"/>
    <x v="0"/>
    <m/>
  </r>
  <r>
    <d v="2026-06-01T00:00:00"/>
    <s v="COPOWER"/>
    <s v="COSTAYACO"/>
    <x v="6"/>
    <n v="24"/>
    <n v="0"/>
    <n v="16500"/>
    <n v="0"/>
    <n v="0"/>
    <n v="0"/>
    <n v="24"/>
    <n v="0"/>
    <x v="0"/>
    <m/>
  </r>
  <r>
    <d v="2026-06-01T00:00:00"/>
    <s v="COPOWER"/>
    <s v="COSTAYACO"/>
    <x v="7"/>
    <n v="0"/>
    <n v="24"/>
    <n v="0"/>
    <n v="0"/>
    <n v="0"/>
    <n v="0"/>
    <n v="24"/>
    <n v="0"/>
    <x v="0"/>
    <m/>
  </r>
  <r>
    <d v="2026-06-01T00:00:00"/>
    <s v="COPOWER"/>
    <s v="COSTAYACO"/>
    <x v="8"/>
    <n v="0"/>
    <n v="24"/>
    <n v="0"/>
    <n v="0"/>
    <n v="0"/>
    <n v="0"/>
    <n v="24"/>
    <n v="0"/>
    <x v="0"/>
    <m/>
  </r>
  <r>
    <d v="2026-06-01T00:00:00"/>
    <s v="COPOWER"/>
    <s v="COSTAYACO"/>
    <x v="9"/>
    <n v="0"/>
    <n v="24"/>
    <n v="0"/>
    <n v="0"/>
    <n v="0"/>
    <n v="0"/>
    <n v="24"/>
    <n v="0"/>
    <x v="0"/>
    <m/>
  </r>
  <r>
    <d v="2026-06-01T00:00:00"/>
    <s v="COPOWER"/>
    <s v="VONU"/>
    <x v="10"/>
    <n v="24"/>
    <n v="0"/>
    <n v="8939"/>
    <n v="0"/>
    <n v="0"/>
    <n v="0"/>
    <n v="24"/>
    <n v="0"/>
    <x v="0"/>
    <m/>
  </r>
  <r>
    <d v="2026-06-01T00:00:00"/>
    <s v="COPOWER"/>
    <s v="VONU"/>
    <x v="11"/>
    <n v="24"/>
    <n v="0"/>
    <n v="9331"/>
    <n v="0"/>
    <n v="0"/>
    <n v="0"/>
    <n v="24"/>
    <n v="0"/>
    <x v="0"/>
    <m/>
  </r>
  <r>
    <d v="2026-06-01T00:00:00"/>
    <s v="COPOWER"/>
    <s v="COSTAYACO"/>
    <x v="12"/>
    <n v="23"/>
    <n v="1"/>
    <n v="8756"/>
    <n v="0"/>
    <n v="0"/>
    <n v="0"/>
    <n v="24"/>
    <n v="0"/>
    <x v="0"/>
    <s v="Stby baja presion de gas."/>
  </r>
  <r>
    <d v="2026-06-02T00:00:00"/>
    <s v="COPOWER"/>
    <s v="COSTAYACO"/>
    <x v="0"/>
    <n v="9"/>
    <n v="0"/>
    <n v="5324"/>
    <n v="0"/>
    <n v="0"/>
    <n v="15"/>
    <n v="24"/>
    <n v="0"/>
    <x v="0"/>
    <s v="Sale para mantenimiento semanal de MRU posteriormente presenta detonación al momento de iniciar en línea, el cual nos produjo daño en la integridad de el equipo. Pendiente procedimiento de estabialización de gas para generación."/>
  </r>
  <r>
    <d v="2026-06-02T00:00:00"/>
    <s v="COPOWER"/>
    <s v="COSTAYACO"/>
    <x v="1"/>
    <n v="22"/>
    <n v="2"/>
    <n v="13589"/>
    <n v="0"/>
    <n v="0"/>
    <n v="0"/>
    <n v="24"/>
    <n v="0"/>
    <x v="0"/>
    <s v="Stanby por que se cambio de flujo de gas de MRU a MQT."/>
  </r>
  <r>
    <d v="2026-06-02T00:00:00"/>
    <s v="COPOWER"/>
    <s v="COSTAYACO"/>
    <x v="2"/>
    <n v="8"/>
    <n v="16"/>
    <n v="5412"/>
    <n v="0"/>
    <n v="0"/>
    <n v="0"/>
    <n v="24"/>
    <n v="0"/>
    <x v="0"/>
    <s v="Pendiente definir con copower horas de standby - orden de generencia de no arrancar hasta tener información de SOE."/>
  </r>
  <r>
    <d v="2026-06-02T00:00:00"/>
    <s v="COPOWER"/>
    <s v="COSTAYACO"/>
    <x v="3"/>
    <n v="24"/>
    <n v="0"/>
    <n v="20968"/>
    <n v="0"/>
    <n v="0"/>
    <n v="0"/>
    <n v="24"/>
    <n v="0"/>
    <x v="0"/>
    <m/>
  </r>
  <r>
    <d v="2026-06-02T00:00:00"/>
    <s v="COPOWER"/>
    <s v="COSTAYACO"/>
    <x v="4"/>
    <n v="24"/>
    <n v="0"/>
    <n v="20968"/>
    <n v="0"/>
    <n v="0"/>
    <n v="0"/>
    <n v="24"/>
    <n v="0"/>
    <x v="0"/>
    <m/>
  </r>
  <r>
    <d v="2026-06-02T00:00:00"/>
    <s v="COPOWER"/>
    <s v="COSTAYACO"/>
    <x v="5"/>
    <n v="8"/>
    <n v="16"/>
    <n v="4899"/>
    <n v="0"/>
    <n v="0"/>
    <n v="0"/>
    <n v="24"/>
    <n v="0"/>
    <x v="0"/>
    <s v="Pendiente definir con copower horas de standby - orden de generencia de no arrancar hasta tener información de SOE."/>
  </r>
  <r>
    <d v="2026-06-02T00:00:00"/>
    <s v="COPOWER"/>
    <s v="COSTAYACO"/>
    <x v="6"/>
    <n v="9"/>
    <n v="15"/>
    <n v="6577"/>
    <n v="0"/>
    <n v="0"/>
    <n v="0"/>
    <n v="24"/>
    <n v="0"/>
    <x v="0"/>
    <s v="Pendiente definir con copower horas de standby - orden de generencia de no arrancar hasta tener información de SOE."/>
  </r>
  <r>
    <d v="2026-06-02T00:00:00"/>
    <s v="COPOWER"/>
    <s v="COSTAYACO"/>
    <x v="7"/>
    <n v="0"/>
    <n v="24"/>
    <n v="0"/>
    <n v="0"/>
    <n v="0"/>
    <n v="0"/>
    <n v="24"/>
    <n v="0"/>
    <x v="0"/>
    <m/>
  </r>
  <r>
    <d v="2026-06-02T00:00:00"/>
    <s v="COPOWER"/>
    <s v="COSTAYACO"/>
    <x v="8"/>
    <n v="5"/>
    <n v="19"/>
    <n v="5101"/>
    <n v="0"/>
    <n v="0"/>
    <n v="0"/>
    <n v="24"/>
    <n v="0"/>
    <x v="0"/>
    <s v="Apoyo a salida de equipos a gas."/>
  </r>
  <r>
    <d v="2026-06-02T00:00:00"/>
    <s v="COPOWER"/>
    <s v="COSTAYACO"/>
    <x v="9"/>
    <n v="0"/>
    <n v="24"/>
    <n v="0"/>
    <n v="0"/>
    <n v="0"/>
    <n v="0"/>
    <n v="24"/>
    <n v="0"/>
    <x v="0"/>
    <m/>
  </r>
  <r>
    <d v="2026-06-02T00:00:00"/>
    <s v="COPOWER"/>
    <s v="VONU"/>
    <x v="10"/>
    <n v="24"/>
    <n v="0"/>
    <n v="8744"/>
    <n v="0"/>
    <n v="0"/>
    <n v="0"/>
    <n v="24"/>
    <n v="0"/>
    <x v="0"/>
    <m/>
  </r>
  <r>
    <d v="2026-06-02T00:00:00"/>
    <s v="COPOWER"/>
    <s v="VONU"/>
    <x v="11"/>
    <n v="24"/>
    <n v="0"/>
    <n v="9028"/>
    <n v="0"/>
    <n v="0"/>
    <n v="0"/>
    <n v="24"/>
    <n v="0"/>
    <x v="0"/>
    <m/>
  </r>
  <r>
    <d v="2026-06-02T00:00:00"/>
    <s v="COPOWER"/>
    <s v="COSTAYACO"/>
    <x v="12"/>
    <n v="21"/>
    <n v="3"/>
    <n v="8375"/>
    <n v="0"/>
    <n v="0"/>
    <n v="0"/>
    <n v="24"/>
    <n v="0"/>
    <x v="0"/>
    <s v="Stanby por baja presión de gas CYC 11pm "/>
  </r>
  <r>
    <d v="2026-06-03T00:00:00"/>
    <s v="COPOWER"/>
    <s v="COSTAYACO"/>
    <x v="0"/>
    <n v="0"/>
    <n v="0"/>
    <n v="0"/>
    <n v="0"/>
    <n v="0"/>
    <n v="24"/>
    <n v="24"/>
    <n v="0"/>
    <x v="0"/>
    <s v="Falla en el sistema de admision."/>
  </r>
  <r>
    <d v="2026-06-03T00:00:00"/>
    <s v="COPOWER"/>
    <s v="COSTAYACO"/>
    <x v="1"/>
    <n v="24"/>
    <n v="0"/>
    <n v="14887"/>
    <n v="0"/>
    <n v="0"/>
    <n v="0"/>
    <n v="24"/>
    <n v="0"/>
    <x v="0"/>
    <m/>
  </r>
  <r>
    <d v="2026-06-03T00:00:00"/>
    <s v="COPOWER"/>
    <s v="COSTAYACO"/>
    <x v="2"/>
    <n v="24"/>
    <n v="0"/>
    <n v="15054"/>
    <n v="0"/>
    <n v="0"/>
    <n v="0"/>
    <n v="24"/>
    <n v="0"/>
    <x v="0"/>
    <s v="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
  </r>
  <r>
    <d v="2026-06-03T00:00:00"/>
    <s v="COPOWER"/>
    <s v="COSTAYACO"/>
    <x v="3"/>
    <n v="23"/>
    <n v="1"/>
    <n v="20135"/>
    <n v="0"/>
    <n v="0"/>
    <n v="0"/>
    <n v="24"/>
    <n v="0"/>
    <x v="0"/>
    <s v="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
  </r>
  <r>
    <d v="2026-06-03T00:00:00"/>
    <s v="COPOWER"/>
    <s v="COSTAYACO"/>
    <x v="4"/>
    <n v="23"/>
    <n v="1"/>
    <n v="20457"/>
    <n v="0"/>
    <n v="0"/>
    <n v="0"/>
    <n v="24"/>
    <n v="0"/>
    <x v="0"/>
    <s v="Sale de línea por perdida de referencia de voltaje del bus, maniobras cambio de cargas portico principal 13.2 Kv de la barra B a la Barra A, Para lo cual se requiere respaldo con generación diesel bajar importacion del SIN garantizar tensión del SIN en 34.5 Kv. La carga en el momento del CTO 13.2 Kv anillo pozos es de 6 Mw por lo que al operar en radial se corre riesgo de afectacion a pozos por variación de voltaje durante la apertura de los reconectadores R6 Y R7."/>
  </r>
  <r>
    <d v="2026-06-03T00:00:00"/>
    <s v="COPOWER"/>
    <s v="COSTAYACO"/>
    <x v="5"/>
    <n v="14"/>
    <n v="6"/>
    <n v="11795"/>
    <n v="0"/>
    <n v="4"/>
    <n v="0"/>
    <n v="24"/>
    <n v="1"/>
    <x v="1"/>
    <s v="Cambio de intercooler por exceso de reciduo de secuestrante. Pendiente reporte de fallo."/>
  </r>
  <r>
    <d v="2026-06-03T00:00:00"/>
    <s v="COPOWER"/>
    <s v="COSTAYACO"/>
    <x v="6"/>
    <n v="18"/>
    <n v="6"/>
    <n v="12960"/>
    <n v="0"/>
    <n v="0"/>
    <n v="0"/>
    <n v="24"/>
    <n v="0"/>
    <x v="0"/>
    <s v="Stanby por baja presion de CYC debido a estabilidad de pozos."/>
  </r>
  <r>
    <d v="2026-06-03T00:00:00"/>
    <s v="COPOWER"/>
    <s v="COSTAYACO"/>
    <x v="7"/>
    <n v="0"/>
    <n v="24"/>
    <n v="0"/>
    <n v="0"/>
    <n v="0"/>
    <n v="0"/>
    <n v="24"/>
    <n v="0"/>
    <x v="0"/>
    <m/>
  </r>
  <r>
    <d v="2026-06-03T00:00:00"/>
    <s v="COPOWER"/>
    <s v="COSTAYACO"/>
    <x v="8"/>
    <n v="8"/>
    <n v="16"/>
    <n v="5459"/>
    <n v="0"/>
    <n v="0"/>
    <n v="0"/>
    <n v="24"/>
    <n v="0"/>
    <x v="0"/>
    <s v="Respaldo por salida de campo SD."/>
  </r>
  <r>
    <d v="2026-06-03T00:00:00"/>
    <s v="COPOWER"/>
    <s v="COSTAYACO"/>
    <x v="9"/>
    <n v="0"/>
    <n v="24"/>
    <n v="0"/>
    <n v="0"/>
    <n v="0"/>
    <n v="0"/>
    <n v="24"/>
    <n v="0"/>
    <x v="0"/>
    <m/>
  </r>
  <r>
    <d v="2026-06-03T00:00:00"/>
    <s v="COPOWER"/>
    <s v="VONU"/>
    <x v="10"/>
    <n v="18"/>
    <n v="0"/>
    <n v="6453"/>
    <n v="6"/>
    <n v="0"/>
    <n v="0"/>
    <n v="24"/>
    <n v="0"/>
    <x v="0"/>
    <s v="Mantenimiento programado M1."/>
  </r>
  <r>
    <d v="2026-06-03T00:00:00"/>
    <s v="COPOWER"/>
    <s v="VONU"/>
    <x v="11"/>
    <n v="24"/>
    <n v="0"/>
    <n v="8945"/>
    <n v="0"/>
    <n v="0"/>
    <n v="0"/>
    <n v="24"/>
    <n v="0"/>
    <x v="0"/>
    <m/>
  </r>
  <r>
    <d v="2026-06-03T00:00:00"/>
    <s v="COPOWER"/>
    <s v="COSTAYACO"/>
    <x v="12"/>
    <n v="12"/>
    <n v="12"/>
    <n v="4368"/>
    <n v="0"/>
    <n v="0"/>
    <n v="0"/>
    <n v="24"/>
    <n v="0"/>
    <x v="0"/>
    <s v="Standby por baja presion de costayaco a espera de estabilización de pozos."/>
  </r>
  <r>
    <d v="2026-06-04T00:00:00"/>
    <s v="COPOWER"/>
    <s v="COSTAYACO"/>
    <x v="0"/>
    <n v="1"/>
    <n v="0"/>
    <n v="838"/>
    <n v="0"/>
    <n v="0"/>
    <n v="23"/>
    <n v="24"/>
    <n v="0"/>
    <x v="0"/>
    <s v="Hora de operación posterior a el mantenimiento debido a daño en el tren de admision."/>
  </r>
  <r>
    <d v="2026-06-04T00:00:00"/>
    <s v="COPOWER"/>
    <s v="COSTAYACO"/>
    <x v="1"/>
    <n v="24"/>
    <n v="0"/>
    <n v="15337"/>
    <n v="0"/>
    <n v="0"/>
    <n v="0"/>
    <n v="24"/>
    <n v="0"/>
    <x v="0"/>
    <m/>
  </r>
  <r>
    <d v="2026-06-04T00:00:00"/>
    <s v="COPOWER"/>
    <s v="COSTAYACO"/>
    <x v="2"/>
    <n v="24"/>
    <n v="0"/>
    <n v="16264"/>
    <n v="0"/>
    <n v="0"/>
    <n v="0"/>
    <n v="24"/>
    <n v="0"/>
    <x v="0"/>
    <m/>
  </r>
  <r>
    <d v="2026-06-04T00:00:00"/>
    <s v="COPOWER"/>
    <s v="COSTAYACO"/>
    <x v="3"/>
    <n v="24"/>
    <n v="0"/>
    <n v="22379"/>
    <n v="0"/>
    <n v="0"/>
    <n v="0"/>
    <n v="24"/>
    <n v="0"/>
    <x v="0"/>
    <m/>
  </r>
  <r>
    <d v="2026-06-04T00:00:00"/>
    <s v="COPOWER"/>
    <s v="COSTAYACO"/>
    <x v="4"/>
    <n v="24"/>
    <n v="0"/>
    <n v="21687"/>
    <n v="0"/>
    <n v="0"/>
    <n v="0"/>
    <n v="24"/>
    <n v="0"/>
    <x v="0"/>
    <m/>
  </r>
  <r>
    <d v="2026-06-04T00:00:00"/>
    <s v="COPOWER"/>
    <s v="COSTAYACO"/>
    <x v="5"/>
    <n v="24"/>
    <n v="0"/>
    <n v="22104"/>
    <n v="0"/>
    <n v="0"/>
    <n v="0"/>
    <n v="24"/>
    <n v="0"/>
    <x v="0"/>
    <m/>
  </r>
  <r>
    <d v="2026-06-04T00:00:00"/>
    <s v="COPOWER"/>
    <s v="COSTAYACO"/>
    <x v="6"/>
    <n v="24"/>
    <n v="0"/>
    <n v="17184"/>
    <n v="0"/>
    <n v="0"/>
    <n v="0"/>
    <n v="24"/>
    <n v="0"/>
    <x v="0"/>
    <m/>
  </r>
  <r>
    <d v="2026-06-04T00:00:00"/>
    <s v="COPOWER"/>
    <s v="COSTAYACO"/>
    <x v="7"/>
    <n v="4"/>
    <n v="20"/>
    <n v="1520"/>
    <n v="0"/>
    <n v="0"/>
    <n v="0"/>
    <n v="24"/>
    <n v="0"/>
    <x v="0"/>
    <s v="Respaldo al CPW01."/>
  </r>
  <r>
    <d v="2026-06-04T00:00:00"/>
    <s v="COPOWER"/>
    <s v="COSTAYACO"/>
    <x v="8"/>
    <n v="0"/>
    <n v="24"/>
    <n v="0"/>
    <n v="0"/>
    <n v="0"/>
    <n v="0"/>
    <n v="24"/>
    <n v="0"/>
    <x v="0"/>
    <m/>
  </r>
  <r>
    <d v="2026-06-04T00:00:00"/>
    <s v="COPOWER"/>
    <s v="COSTAYACO"/>
    <x v="9"/>
    <n v="0"/>
    <n v="24"/>
    <n v="0"/>
    <n v="0"/>
    <n v="0"/>
    <n v="0"/>
    <n v="24"/>
    <n v="0"/>
    <x v="0"/>
    <m/>
  </r>
  <r>
    <d v="2026-06-04T00:00:00"/>
    <s v="COPOWER"/>
    <s v="VONU"/>
    <x v="10"/>
    <n v="24"/>
    <n v="0"/>
    <n v="8004"/>
    <n v="0"/>
    <n v="0"/>
    <n v="0"/>
    <n v="24"/>
    <n v="0"/>
    <x v="0"/>
    <m/>
  </r>
  <r>
    <d v="2026-06-04T00:00:00"/>
    <s v="COPOWER"/>
    <s v="VONU"/>
    <x v="11"/>
    <n v="24"/>
    <n v="0"/>
    <n v="8108"/>
    <n v="0"/>
    <n v="0"/>
    <n v="0"/>
    <n v="24"/>
    <n v="0"/>
    <x v="0"/>
    <m/>
  </r>
  <r>
    <d v="2026-06-04T00:00:00"/>
    <s v="COPOWER"/>
    <s v="COSTAYACO"/>
    <x v="12"/>
    <n v="21"/>
    <n v="3"/>
    <n v="7097"/>
    <n v="0"/>
    <n v="0"/>
    <n v="0"/>
    <n v="24"/>
    <n v="0"/>
    <x v="0"/>
    <s v="Tres horas disponible por baja presion de gas Costayaco."/>
  </r>
  <r>
    <d v="2026-06-05T00:00:00"/>
    <s v="COPOWER"/>
    <s v="COSTAYACO"/>
    <x v="0"/>
    <n v="22"/>
    <n v="0"/>
    <n v="13211"/>
    <n v="0"/>
    <n v="2"/>
    <n v="0"/>
    <n v="24"/>
    <n v="1"/>
    <x v="1"/>
    <s v="Sale para mantenimiento correctivo por exostacion del dia 2-06-2026, al momento de iniciar en linea el cual nos produjo daño en la integridad de el equipo, afectando el flexible del multiple de gases de escape "/>
  </r>
  <r>
    <d v="2026-06-05T00:00:00"/>
    <s v="COPOWER"/>
    <s v="COSTAYACO"/>
    <x v="1"/>
    <n v="24"/>
    <n v="0"/>
    <n v="14300"/>
    <n v="0"/>
    <n v="0"/>
    <n v="0"/>
    <n v="24"/>
    <n v="0"/>
    <x v="0"/>
    <m/>
  </r>
  <r>
    <d v="2026-06-05T00:00:00"/>
    <s v="COPOWER"/>
    <s v="COSTAYACO"/>
    <x v="2"/>
    <n v="24"/>
    <n v="0"/>
    <n v="15718"/>
    <n v="0"/>
    <n v="0"/>
    <n v="0"/>
    <n v="24"/>
    <n v="0"/>
    <x v="0"/>
    <m/>
  </r>
  <r>
    <d v="2026-06-05T00:00:00"/>
    <s v="COPOWER"/>
    <s v="COSTAYACO"/>
    <x v="3"/>
    <n v="24"/>
    <n v="0"/>
    <n v="20746"/>
    <n v="0"/>
    <n v="0"/>
    <n v="0"/>
    <n v="24"/>
    <n v="0"/>
    <x v="0"/>
    <m/>
  </r>
  <r>
    <d v="2026-06-05T00:00:00"/>
    <s v="COPOWER"/>
    <s v="COSTAYACO"/>
    <x v="4"/>
    <n v="24"/>
    <n v="0"/>
    <n v="20917"/>
    <n v="0"/>
    <n v="0"/>
    <n v="0"/>
    <n v="24"/>
    <n v="0"/>
    <x v="0"/>
    <m/>
  </r>
  <r>
    <d v="2026-06-05T00:00:00"/>
    <s v="COPOWER"/>
    <s v="COSTAYACO"/>
    <x v="5"/>
    <n v="24"/>
    <n v="0"/>
    <n v="22068"/>
    <n v="0"/>
    <n v="0"/>
    <n v="0"/>
    <n v="24"/>
    <n v="0"/>
    <x v="0"/>
    <m/>
  </r>
  <r>
    <d v="2026-06-05T00:00:00"/>
    <s v="COPOWER"/>
    <s v="COSTAYACO"/>
    <x v="6"/>
    <n v="24"/>
    <n v="0"/>
    <n v="16591"/>
    <n v="0"/>
    <n v="0"/>
    <n v="0"/>
    <n v="24"/>
    <n v="0"/>
    <x v="0"/>
    <m/>
  </r>
  <r>
    <d v="2026-06-05T00:00:00"/>
    <s v="COPOWER"/>
    <s v="COSTAYACO"/>
    <x v="7"/>
    <n v="3"/>
    <n v="21"/>
    <n v="489"/>
    <n v="0"/>
    <n v="0"/>
    <n v="0"/>
    <n v="24"/>
    <n v="0"/>
    <x v="0"/>
    <m/>
  </r>
  <r>
    <d v="2026-06-05T00:00:00"/>
    <s v="COPOWER"/>
    <s v="COSTAYACO"/>
    <x v="8"/>
    <n v="0"/>
    <n v="24"/>
    <n v="0"/>
    <n v="0"/>
    <n v="0"/>
    <n v="0"/>
    <n v="24"/>
    <n v="0"/>
    <x v="0"/>
    <m/>
  </r>
  <r>
    <d v="2026-06-05T00:00:00"/>
    <s v="COPOWER"/>
    <s v="COSTAYACO"/>
    <x v="9"/>
    <n v="0"/>
    <n v="24"/>
    <n v="0"/>
    <n v="0"/>
    <n v="0"/>
    <n v="0"/>
    <n v="24"/>
    <n v="0"/>
    <x v="0"/>
    <m/>
  </r>
  <r>
    <d v="2026-06-05T00:00:00"/>
    <s v="COPOWER"/>
    <s v="VONU"/>
    <x v="10"/>
    <n v="24"/>
    <n v="0"/>
    <n v="7920"/>
    <n v="0"/>
    <n v="0"/>
    <n v="0"/>
    <n v="24"/>
    <n v="0"/>
    <x v="0"/>
    <m/>
  </r>
  <r>
    <d v="2026-06-05T00:00:00"/>
    <s v="COPOWER"/>
    <s v="VONU"/>
    <x v="11"/>
    <n v="24"/>
    <n v="0"/>
    <n v="7958"/>
    <n v="0"/>
    <n v="0"/>
    <n v="0"/>
    <n v="24"/>
    <n v="0"/>
    <x v="0"/>
    <m/>
  </r>
  <r>
    <d v="2026-06-05T00:00:00"/>
    <s v="COPOWER"/>
    <s v="COSTAYACO"/>
    <x v="12"/>
    <n v="17"/>
    <n v="7"/>
    <n v="6311"/>
    <n v="0"/>
    <n v="0"/>
    <n v="0"/>
    <n v="24"/>
    <n v="0"/>
    <x v="0"/>
    <s v="Siete horas disponible por baja presion de gas Costayaco."/>
  </r>
  <r>
    <d v="2026-06-06T00:00:00"/>
    <s v="COPOWER"/>
    <s v="COSTAYACO"/>
    <x v="0"/>
    <n v="24"/>
    <n v="0"/>
    <n v="16175"/>
    <n v="0"/>
    <n v="0"/>
    <n v="0"/>
    <n v="24"/>
    <n v="0"/>
    <x v="0"/>
    <s v="Sale para mantenimiento correctivo por exostacion del dia 2-06-2026, al momento de iniciar en linea el cual nos produjo daño en la integridad de el equipo, afectando el flexible del multiple de gases de escape "/>
  </r>
  <r>
    <d v="2026-06-06T00:00:00"/>
    <s v="COPOWER"/>
    <s v="COSTAYACO"/>
    <x v="1"/>
    <n v="24"/>
    <n v="0"/>
    <n v="14354"/>
    <n v="0"/>
    <n v="0"/>
    <n v="0"/>
    <n v="24"/>
    <n v="0"/>
    <x v="0"/>
    <m/>
  </r>
  <r>
    <d v="2026-06-06T00:00:00"/>
    <s v="COPOWER"/>
    <s v="COSTAYACO"/>
    <x v="2"/>
    <n v="24"/>
    <n v="0"/>
    <n v="16172"/>
    <n v="0"/>
    <n v="0"/>
    <n v="0"/>
    <n v="24"/>
    <n v="0"/>
    <x v="0"/>
    <m/>
  </r>
  <r>
    <d v="2026-06-06T00:00:00"/>
    <s v="COPOWER"/>
    <s v="COSTAYACO"/>
    <x v="3"/>
    <n v="24"/>
    <n v="0"/>
    <n v="21567"/>
    <n v="0"/>
    <n v="0"/>
    <n v="0"/>
    <n v="24"/>
    <n v="0"/>
    <x v="0"/>
    <m/>
  </r>
  <r>
    <d v="2026-06-06T00:00:00"/>
    <s v="COPOWER"/>
    <s v="COSTAYACO"/>
    <x v="4"/>
    <n v="24"/>
    <n v="0"/>
    <n v="20721"/>
    <n v="0"/>
    <n v="0"/>
    <n v="0"/>
    <n v="24"/>
    <n v="0"/>
    <x v="0"/>
    <m/>
  </r>
  <r>
    <d v="2026-06-06T00:00:00"/>
    <s v="COPOWER"/>
    <s v="COSTAYACO"/>
    <x v="5"/>
    <n v="24"/>
    <n v="0"/>
    <n v="22805"/>
    <n v="0"/>
    <n v="0"/>
    <n v="0"/>
    <n v="24"/>
    <n v="0"/>
    <x v="0"/>
    <m/>
  </r>
  <r>
    <d v="2026-06-06T00:00:00"/>
    <s v="COPOWER"/>
    <s v="COSTAYACO"/>
    <x v="6"/>
    <n v="24"/>
    <n v="0"/>
    <n v="16773"/>
    <n v="0"/>
    <n v="0"/>
    <n v="0"/>
    <n v="24"/>
    <n v="0"/>
    <x v="0"/>
    <m/>
  </r>
  <r>
    <d v="2026-06-06T00:00:00"/>
    <s v="COPOWER"/>
    <s v="COSTAYACO"/>
    <x v="7"/>
    <n v="0"/>
    <n v="24"/>
    <n v="185"/>
    <n v="0"/>
    <n v="0"/>
    <n v="0"/>
    <n v="24"/>
    <n v="0"/>
    <x v="0"/>
    <m/>
  </r>
  <r>
    <d v="2026-06-06T00:00:00"/>
    <s v="COPOWER"/>
    <s v="COSTAYACO"/>
    <x v="8"/>
    <n v="0"/>
    <n v="24"/>
    <n v="0"/>
    <n v="0"/>
    <n v="0"/>
    <n v="0"/>
    <n v="24"/>
    <n v="0"/>
    <x v="0"/>
    <m/>
  </r>
  <r>
    <d v="2026-06-06T00:00:00"/>
    <s v="COPOWER"/>
    <s v="COSTAYACO"/>
    <x v="9"/>
    <n v="0"/>
    <n v="24"/>
    <n v="0"/>
    <n v="0"/>
    <n v="0"/>
    <n v="0"/>
    <n v="24"/>
    <n v="0"/>
    <x v="0"/>
    <m/>
  </r>
  <r>
    <d v="2026-06-06T00:00:00"/>
    <s v="COPOWER"/>
    <s v="VONU"/>
    <x v="10"/>
    <n v="23"/>
    <n v="0"/>
    <n v="8307"/>
    <n v="0"/>
    <n v="0"/>
    <n v="1"/>
    <n v="24"/>
    <n v="0"/>
    <x v="0"/>
    <s v="Sale de línea equipo JINAN-01 parada manual, se realizará cambio de válvula 3/4&quot; por parte de Confipetrol_x000a_Tiempo estimado 1 hora."/>
  </r>
  <r>
    <d v="2026-06-06T00:00:00"/>
    <s v="COPOWER"/>
    <s v="VONU"/>
    <x v="11"/>
    <n v="24"/>
    <n v="0"/>
    <n v="8893"/>
    <n v="0"/>
    <n v="0"/>
    <n v="0"/>
    <n v="24"/>
    <n v="0"/>
    <x v="0"/>
    <m/>
  </r>
  <r>
    <d v="2026-06-06T00:00:00"/>
    <s v="COPOWER"/>
    <s v="COSTAYACO"/>
    <x v="12"/>
    <n v="8"/>
    <n v="16"/>
    <n v="3284"/>
    <n v="0"/>
    <n v="0"/>
    <n v="0"/>
    <n v="24"/>
    <n v="0"/>
    <x v="0"/>
    <s v="Sale de linea equipo CPW010 por actividades programadas de maniobras de conexion salida de potencia generadores cpw-10,cpw-11 y cpw-12 al tablero 480 V Ryctel copower."/>
  </r>
  <r>
    <d v="2026-06-07T00:00:00"/>
    <s v="COPOWER"/>
    <s v="COSTAYACO"/>
    <x v="0"/>
    <n v="21"/>
    <n v="0"/>
    <n v="13478"/>
    <n v="0"/>
    <n v="0"/>
    <n v="3"/>
    <n v="24"/>
    <n v="1"/>
    <x v="1"/>
    <s v="FDL por SD detonación. Se evidencia en las tendencias de operación del equipo caída de presión de gas.se realiza cambio de base y rele k4, alimentación válvula shutoff suministro de alimentación gas del equipo."/>
  </r>
  <r>
    <d v="2026-06-07T00:00:00"/>
    <s v="COPOWER"/>
    <s v="COSTAYACO"/>
    <x v="1"/>
    <n v="24"/>
    <n v="0"/>
    <n v="15023"/>
    <n v="0"/>
    <n v="0"/>
    <n v="0"/>
    <n v="24"/>
    <n v="0"/>
    <x v="0"/>
    <m/>
  </r>
  <r>
    <d v="2026-06-07T00:00:00"/>
    <s v="COPOWER"/>
    <s v="COSTAYACO"/>
    <x v="2"/>
    <n v="24"/>
    <n v="0"/>
    <n v="15380"/>
    <n v="0"/>
    <n v="0"/>
    <n v="0"/>
    <n v="24"/>
    <n v="0"/>
    <x v="0"/>
    <m/>
  </r>
  <r>
    <d v="2026-06-07T00:00:00"/>
    <s v="COPOWER"/>
    <s v="COSTAYACO"/>
    <x v="3"/>
    <n v="24"/>
    <n v="0"/>
    <n v="20686"/>
    <n v="0"/>
    <n v="0"/>
    <n v="0"/>
    <n v="24"/>
    <n v="0"/>
    <x v="0"/>
    <m/>
  </r>
  <r>
    <d v="2026-06-07T00:00:00"/>
    <s v="COPOWER"/>
    <s v="COSTAYACO"/>
    <x v="4"/>
    <n v="24"/>
    <n v="0"/>
    <n v="20162"/>
    <n v="0"/>
    <n v="0"/>
    <n v="0"/>
    <n v="24"/>
    <n v="0"/>
    <x v="0"/>
    <m/>
  </r>
  <r>
    <d v="2026-06-07T00:00:00"/>
    <s v="COPOWER"/>
    <s v="COSTAYACO"/>
    <x v="5"/>
    <n v="24"/>
    <n v="0"/>
    <n v="22052"/>
    <n v="0"/>
    <n v="0"/>
    <n v="0"/>
    <n v="24"/>
    <n v="0"/>
    <x v="0"/>
    <m/>
  </r>
  <r>
    <d v="2026-06-07T00:00:00"/>
    <s v="COPOWER"/>
    <s v="COSTAYACO"/>
    <x v="6"/>
    <n v="24"/>
    <n v="0"/>
    <n v="15850"/>
    <n v="0"/>
    <n v="0"/>
    <n v="0"/>
    <n v="24"/>
    <n v="0"/>
    <x v="0"/>
    <m/>
  </r>
  <r>
    <d v="2026-06-07T00:00:00"/>
    <s v="COPOWER"/>
    <s v="COSTAYACO"/>
    <x v="7"/>
    <n v="0"/>
    <n v="24"/>
    <n v="0"/>
    <n v="0"/>
    <n v="0"/>
    <n v="0"/>
    <n v="24"/>
    <n v="0"/>
    <x v="0"/>
    <m/>
  </r>
  <r>
    <d v="2026-06-07T00:00:00"/>
    <s v="COPOWER"/>
    <s v="COSTAYACO"/>
    <x v="8"/>
    <n v="0"/>
    <n v="24"/>
    <n v="0"/>
    <n v="0"/>
    <n v="0"/>
    <n v="0"/>
    <n v="24"/>
    <n v="0"/>
    <x v="0"/>
    <m/>
  </r>
  <r>
    <d v="2026-06-07T00:00:00"/>
    <s v="COPOWER"/>
    <s v="COSTAYACO"/>
    <x v="9"/>
    <n v="0"/>
    <n v="24"/>
    <n v="0"/>
    <n v="0"/>
    <n v="0"/>
    <n v="0"/>
    <n v="24"/>
    <n v="0"/>
    <x v="0"/>
    <m/>
  </r>
  <r>
    <d v="2026-06-07T00:00:00"/>
    <s v="COPOWER"/>
    <s v="VONU"/>
    <x v="10"/>
    <n v="24"/>
    <n v="0"/>
    <n v="8163"/>
    <n v="0"/>
    <n v="0"/>
    <n v="0"/>
    <n v="24"/>
    <n v="0"/>
    <x v="0"/>
    <m/>
  </r>
  <r>
    <d v="2026-06-07T00:00:00"/>
    <s v="COPOWER"/>
    <s v="VONU"/>
    <x v="11"/>
    <n v="24"/>
    <n v="0"/>
    <n v="8146"/>
    <n v="0"/>
    <n v="0"/>
    <n v="0"/>
    <n v="24"/>
    <n v="0"/>
    <x v="0"/>
    <m/>
  </r>
  <r>
    <d v="2026-06-07T00:00:00"/>
    <s v="COPOWER"/>
    <s v="COSTAYACO"/>
    <x v="12"/>
    <n v="0"/>
    <n v="24"/>
    <n v="0"/>
    <n v="0"/>
    <n v="0"/>
    <n v="0"/>
    <n v="24"/>
    <n v="0"/>
    <x v="0"/>
    <s v="Sale de linea equipo CPW010, Por solicitud de CCM por actividades programadas de maniobras de conexion salida de potencia generadores cpw-10,cpw-11 y cpw-12 al tablero 480 V Ryctel copower."/>
  </r>
  <r>
    <d v="2026-06-08T00:00:00"/>
    <s v="COPOWER"/>
    <s v="COSTAYACO"/>
    <x v="0"/>
    <n v="24"/>
    <n v="0"/>
    <n v="16303"/>
    <n v="0"/>
    <n v="0"/>
    <n v="0"/>
    <n v="24"/>
    <n v="0"/>
    <x v="0"/>
    <m/>
  </r>
  <r>
    <d v="2026-06-08T00:00:00"/>
    <s v="COPOWER"/>
    <s v="COSTAYACO"/>
    <x v="1"/>
    <n v="24"/>
    <n v="0"/>
    <n v="15223"/>
    <n v="0"/>
    <n v="0"/>
    <n v="0"/>
    <n v="24"/>
    <n v="0"/>
    <x v="0"/>
    <m/>
  </r>
  <r>
    <d v="2026-06-08T00:00:00"/>
    <s v="COPOWER"/>
    <s v="COSTAYACO"/>
    <x v="2"/>
    <n v="20"/>
    <n v="0"/>
    <n v="13334"/>
    <n v="4"/>
    <n v="0"/>
    <n v="0"/>
    <n v="24"/>
    <n v="0"/>
    <x v="0"/>
    <s v="Se realiza mantenimiento preventivo programado M1"/>
  </r>
  <r>
    <d v="2026-06-08T00:00:00"/>
    <s v="COPOWER"/>
    <s v="COSTAYACO"/>
    <x v="3"/>
    <n v="24"/>
    <n v="0"/>
    <n v="21108"/>
    <n v="0"/>
    <n v="0"/>
    <n v="0"/>
    <n v="24"/>
    <n v="0"/>
    <x v="0"/>
    <m/>
  </r>
  <r>
    <d v="2026-06-08T00:00:00"/>
    <s v="COPOWER"/>
    <s v="COSTAYACO"/>
    <x v="4"/>
    <n v="24"/>
    <n v="0"/>
    <n v="20630"/>
    <n v="0"/>
    <n v="0"/>
    <n v="0"/>
    <n v="24"/>
    <n v="0"/>
    <x v="0"/>
    <m/>
  </r>
  <r>
    <d v="2026-06-08T00:00:00"/>
    <s v="COPOWER"/>
    <s v="COSTAYACO"/>
    <x v="5"/>
    <n v="22"/>
    <n v="2"/>
    <n v="20152"/>
    <n v="0"/>
    <n v="0"/>
    <n v="0"/>
    <n v="24"/>
    <n v="0"/>
    <x v="0"/>
    <s v="FDL equipo por maniobras por personal de proyectos en tablero de transferencia equipo cpw 06-07"/>
  </r>
  <r>
    <d v="2026-06-08T00:00:00"/>
    <s v="COPOWER"/>
    <s v="COSTAYACO"/>
    <x v="6"/>
    <n v="22"/>
    <n v="2"/>
    <n v="14876"/>
    <n v="0"/>
    <n v="0"/>
    <n v="0"/>
    <n v="24"/>
    <n v="0"/>
    <x v="0"/>
    <s v="FDL equipo por maniobras por personal de proyectos en tablero de transferencia equipo cpw 06-07"/>
  </r>
  <r>
    <d v="2026-06-08T00:00:00"/>
    <s v="COPOWER"/>
    <s v="COSTAYACO"/>
    <x v="7"/>
    <n v="0"/>
    <n v="24"/>
    <n v="0"/>
    <n v="0"/>
    <n v="0"/>
    <n v="0"/>
    <n v="24"/>
    <n v="0"/>
    <x v="0"/>
    <m/>
  </r>
  <r>
    <d v="2026-06-08T00:00:00"/>
    <s v="COPOWER"/>
    <s v="COSTAYACO"/>
    <x v="8"/>
    <n v="3"/>
    <n v="21"/>
    <n v="2223"/>
    <n v="0"/>
    <n v="0"/>
    <n v="0"/>
    <n v="24"/>
    <n v="0"/>
    <x v="0"/>
    <s v="Respaldo salida del CPW06-07"/>
  </r>
  <r>
    <d v="2026-06-08T00:00:00"/>
    <s v="COPOWER"/>
    <s v="COSTAYACO"/>
    <x v="9"/>
    <n v="3"/>
    <n v="21"/>
    <n v="1820"/>
    <n v="0"/>
    <n v="0"/>
    <n v="0"/>
    <n v="24"/>
    <n v="0"/>
    <x v="0"/>
    <s v="Respaldo salida del CPW06-07"/>
  </r>
  <r>
    <d v="2026-06-08T00:00:00"/>
    <s v="COPOWER"/>
    <s v="VONU"/>
    <x v="10"/>
    <n v="24"/>
    <n v="0"/>
    <n v="10265"/>
    <n v="0"/>
    <n v="0"/>
    <n v="0"/>
    <n v="24"/>
    <n v="0"/>
    <x v="0"/>
    <m/>
  </r>
  <r>
    <d v="2026-06-08T00:00:00"/>
    <s v="COPOWER"/>
    <s v="VONU"/>
    <x v="11"/>
    <n v="24"/>
    <n v="0"/>
    <n v="8882"/>
    <n v="0"/>
    <n v="0"/>
    <n v="0"/>
    <n v="24"/>
    <n v="0"/>
    <x v="0"/>
    <m/>
  </r>
  <r>
    <d v="2026-06-08T00:00:00"/>
    <s v="COPOWER"/>
    <s v="COSTAYACO"/>
    <x v="12"/>
    <n v="0"/>
    <n v="19"/>
    <n v="0"/>
    <n v="0"/>
    <n v="0"/>
    <n v="5"/>
    <n v="24"/>
    <n v="0"/>
    <x v="0"/>
    <s v=" Sale de linea equipo CPW010, 18:30 Se informa equipo disponible para magnetizar transformador 5MVA. Se solicita por Copower realizar el arranque al dia siguiente debido a falta de personal para el arranque."/>
  </r>
  <r>
    <d v="2026-06-09T00:00:00"/>
    <s v="COPOWER"/>
    <s v="COSTAYACO"/>
    <x v="0"/>
    <n v="20"/>
    <n v="4"/>
    <n v="13105"/>
    <n v="0"/>
    <n v="0"/>
    <n v="0"/>
    <n v="24"/>
    <n v="0"/>
    <x v="0"/>
    <s v="FDL por mantenimiento semanal dela MRU - Se presenta demora al ingreso del equipo Copower aun sin tiempos concretos mantenimiento de la MRU 2:17 ingreso alrededor de las 2 horas adiciónales sin sustento de la demora."/>
  </r>
  <r>
    <d v="2026-06-09T00:00:00"/>
    <s v="COPOWER"/>
    <s v="COSTAYACO"/>
    <x v="1"/>
    <n v="24"/>
    <n v="0"/>
    <n v="13576"/>
    <n v="0"/>
    <n v="0"/>
    <n v="0"/>
    <n v="24"/>
    <n v="0"/>
    <x v="0"/>
    <m/>
  </r>
  <r>
    <d v="2026-06-09T00:00:00"/>
    <s v="COPOWER"/>
    <s v="COSTAYACO"/>
    <x v="2"/>
    <n v="20"/>
    <n v="4"/>
    <n v="13065"/>
    <n v="0"/>
    <n v="0"/>
    <n v="0"/>
    <n v="24"/>
    <n v="0"/>
    <x v="0"/>
    <s v="FDL por mantenimiento semanal dela MRU - Se presenta demora al ingreso del equipo Copower aun sin tiempos concretos mantenimiento de la MRU 2:17 ingreso alrededor de las 2 horas adiciónales sin sustento de la demora."/>
  </r>
  <r>
    <d v="2026-06-09T00:00:00"/>
    <s v="COPOWER"/>
    <s v="COSTAYACO"/>
    <x v="3"/>
    <n v="24"/>
    <n v="0"/>
    <n v="20712"/>
    <n v="0"/>
    <n v="0"/>
    <n v="0"/>
    <n v="24"/>
    <n v="0"/>
    <x v="0"/>
    <m/>
  </r>
  <r>
    <d v="2026-06-09T00:00:00"/>
    <s v="COPOWER"/>
    <s v="COSTAYACO"/>
    <x v="4"/>
    <n v="24"/>
    <n v="0"/>
    <n v="20190"/>
    <n v="0"/>
    <n v="0"/>
    <n v="0"/>
    <n v="24"/>
    <n v="0"/>
    <x v="0"/>
    <m/>
  </r>
  <r>
    <d v="2026-06-09T00:00:00"/>
    <s v="COPOWER"/>
    <s v="COSTAYACO"/>
    <x v="5"/>
    <n v="23"/>
    <n v="1"/>
    <n v="19056"/>
    <n v="0"/>
    <n v="0"/>
    <n v="0"/>
    <n v="24"/>
    <n v="0"/>
    <x v="0"/>
    <s v="FDL por mantenimiento semanal de la MRU //  pasa a operar con suministro de gas Moqueta"/>
  </r>
  <r>
    <d v="2026-06-09T00:00:00"/>
    <s v="COPOWER"/>
    <s v="COSTAYACO"/>
    <x v="6"/>
    <n v="20"/>
    <n v="4"/>
    <n v="13831"/>
    <n v="0"/>
    <n v="0"/>
    <n v="0"/>
    <n v="24"/>
    <n v="0"/>
    <x v="0"/>
    <s v="FDL por mantenimiento semanal dela MRU - Se presenta demora al ingreso del equipo Copower aun sin tiempos concretos mantenimiento de la MRU 2:17 ingreso alrededor de las 2 horas adiciónales sin sustento de la demora."/>
  </r>
  <r>
    <d v="2026-06-09T00:00:00"/>
    <s v="COPOWER"/>
    <s v="COSTAYACO"/>
    <x v="7"/>
    <n v="1"/>
    <n v="23"/>
    <n v="201"/>
    <n v="0"/>
    <n v="0"/>
    <n v="0"/>
    <n v="24"/>
    <n v="0"/>
    <x v="0"/>
    <s v="Respaldo por salida de la MRU"/>
  </r>
  <r>
    <d v="2026-06-09T00:00:00"/>
    <s v="COPOWER"/>
    <s v="COSTAYACO"/>
    <x v="8"/>
    <n v="6"/>
    <n v="18"/>
    <n v="4322"/>
    <n v="0"/>
    <n v="0"/>
    <n v="0"/>
    <n v="24"/>
    <n v="0"/>
    <x v="0"/>
    <s v="Respaldo por salida de la MRU"/>
  </r>
  <r>
    <d v="2026-06-09T00:00:00"/>
    <s v="COPOWER"/>
    <s v="COSTAYACO"/>
    <x v="9"/>
    <n v="2"/>
    <n v="22"/>
    <n v="1647"/>
    <n v="0"/>
    <n v="0"/>
    <n v="0"/>
    <n v="24"/>
    <n v="0"/>
    <x v="0"/>
    <s v="Respaldo por salida de la MRU"/>
  </r>
  <r>
    <d v="2026-06-09T00:00:00"/>
    <s v="COPOWER"/>
    <s v="VONU"/>
    <x v="10"/>
    <n v="24"/>
    <n v="0"/>
    <n v="9621"/>
    <n v="0"/>
    <n v="0"/>
    <n v="0"/>
    <n v="24"/>
    <n v="0"/>
    <x v="0"/>
    <m/>
  </r>
  <r>
    <d v="2026-06-09T00:00:00"/>
    <s v="COPOWER"/>
    <s v="VONU"/>
    <x v="11"/>
    <n v="24"/>
    <n v="0"/>
    <n v="7715"/>
    <n v="0"/>
    <n v="0"/>
    <n v="0"/>
    <n v="24"/>
    <n v="0"/>
    <x v="0"/>
    <m/>
  </r>
  <r>
    <d v="2026-06-09T00:00:00"/>
    <s v="COPOWER"/>
    <s v="COSTAYACO"/>
    <x v="12"/>
    <n v="5"/>
    <n v="9"/>
    <n v="1611"/>
    <n v="0"/>
    <n v="0"/>
    <n v="10"/>
    <n v="24"/>
    <n v="0"/>
    <x v="0"/>
    <s v="Equipos entregado a GTE para inicio de arranque sobre las 15:00 se realiza verifiación y pruebas de magnetización de equipo."/>
  </r>
  <r>
    <d v="2026-06-10T00:00:00"/>
    <s v="COPOWER"/>
    <s v="COSTAYACO"/>
    <x v="0"/>
    <n v="24"/>
    <n v="0"/>
    <n v="16102"/>
    <n v="0"/>
    <n v="0"/>
    <n v="0"/>
    <n v="24"/>
    <n v="0"/>
    <x v="0"/>
    <m/>
  </r>
  <r>
    <d v="2026-06-10T00:00:00"/>
    <s v="COPOWER"/>
    <s v="COSTAYACO"/>
    <x v="1"/>
    <n v="24"/>
    <n v="0"/>
    <n v="14476"/>
    <n v="0"/>
    <n v="0"/>
    <n v="0"/>
    <n v="24"/>
    <n v="0"/>
    <x v="0"/>
    <m/>
  </r>
  <r>
    <d v="2026-06-10T00:00:00"/>
    <s v="COPOWER"/>
    <s v="COSTAYACO"/>
    <x v="2"/>
    <n v="24"/>
    <n v="0"/>
    <n v="16088"/>
    <n v="0"/>
    <n v="0"/>
    <n v="0"/>
    <n v="24"/>
    <n v="0"/>
    <x v="0"/>
    <m/>
  </r>
  <r>
    <d v="2026-06-10T00:00:00"/>
    <s v="COPOWER"/>
    <s v="COSTAYACO"/>
    <x v="3"/>
    <n v="24"/>
    <n v="0"/>
    <n v="21256"/>
    <n v="0"/>
    <n v="0"/>
    <n v="0"/>
    <n v="24"/>
    <n v="0"/>
    <x v="0"/>
    <m/>
  </r>
  <r>
    <d v="2026-06-10T00:00:00"/>
    <s v="COPOWER"/>
    <s v="COSTAYACO"/>
    <x v="4"/>
    <n v="24"/>
    <n v="0"/>
    <n v="20367"/>
    <n v="0"/>
    <n v="0"/>
    <n v="0"/>
    <n v="24"/>
    <n v="0"/>
    <x v="0"/>
    <m/>
  </r>
  <r>
    <d v="2026-06-10T00:00:00"/>
    <s v="COPOWER"/>
    <s v="COSTAYACO"/>
    <x v="5"/>
    <n v="24"/>
    <n v="0"/>
    <n v="20318"/>
    <n v="0"/>
    <n v="0"/>
    <n v="0"/>
    <n v="24"/>
    <n v="0"/>
    <x v="0"/>
    <m/>
  </r>
  <r>
    <d v="2026-06-10T00:00:00"/>
    <s v="COPOWER"/>
    <s v="COSTAYACO"/>
    <x v="6"/>
    <n v="23"/>
    <n v="0"/>
    <n v="15434"/>
    <n v="0"/>
    <n v="0"/>
    <n v="1"/>
    <n v="24"/>
    <n v="0"/>
    <x v="0"/>
    <s v="14:20 hrs Parada manual equipo CPW07 por protección presenta altas vivraciones y se nota alta oscilación de carga al pasar la turbina a diesel se informa a CCM._x000a_14:50 hrs Ingresa en linea equipo en coordinación con CCM - pendiente verificar eventos similares cambio de glp a Diesel. debido a que no es claro la salida de la unidad bajo lo presetado es una evidendia de falla del equipo al momento de oscilación en los equipos del sistema de generación. Fecha maxima para entrega de evidencias 16-jun."/>
  </r>
  <r>
    <d v="2026-06-10T00:00:00"/>
    <s v="COPOWER"/>
    <s v="COSTAYACO"/>
    <x v="7"/>
    <n v="2"/>
    <n v="22"/>
    <n v="848"/>
    <n v="0"/>
    <n v="0"/>
    <n v="0"/>
    <n v="24"/>
    <n v="0"/>
    <x v="0"/>
    <s v="Respaldo por salida del JIN-10"/>
  </r>
  <r>
    <d v="2026-06-10T00:00:00"/>
    <s v="COPOWER"/>
    <s v="COSTAYACO"/>
    <x v="8"/>
    <n v="0"/>
    <n v="24"/>
    <n v="0"/>
    <n v="0"/>
    <n v="0"/>
    <n v="0"/>
    <n v="24"/>
    <n v="0"/>
    <x v="0"/>
    <m/>
  </r>
  <r>
    <d v="2026-06-10T00:00:00"/>
    <s v="COPOWER"/>
    <s v="COSTAYACO"/>
    <x v="9"/>
    <n v="0"/>
    <n v="24"/>
    <n v="0"/>
    <n v="0"/>
    <n v="0"/>
    <n v="0"/>
    <n v="24"/>
    <n v="0"/>
    <x v="0"/>
    <m/>
  </r>
  <r>
    <d v="2026-06-10T00:00:00"/>
    <s v="COPOWER"/>
    <s v="VONU"/>
    <x v="10"/>
    <n v="24"/>
    <n v="0"/>
    <n v="9444"/>
    <n v="0"/>
    <n v="0"/>
    <n v="0"/>
    <n v="24"/>
    <n v="0"/>
    <x v="0"/>
    <s v=" 09:36 hrs sale de linea equipo J01 por cambio de gas vonu a cyc 19_x000a_ 09:50 hrs ingresa en linea equipo con gas cyc19._x000a_16:00 hrs sale de linea equipo J01 por cambio de gas cyc 19 a vonu_x000a_16:10 hrs ingresa en linea equipo con gas vonu"/>
  </r>
  <r>
    <d v="2026-06-10T00:00:00"/>
    <s v="COPOWER"/>
    <s v="VONU"/>
    <x v="11"/>
    <n v="17"/>
    <n v="0"/>
    <n v="5688"/>
    <n v="7"/>
    <n v="0"/>
    <n v="0"/>
    <n v="24"/>
    <n v="0"/>
    <x v="0"/>
    <s v="09:36 hrs sale de linea equipo J02 por mantenimiento programado. M2                                                _x000a_16:20 ingresa en linea con gas cyc 19"/>
  </r>
  <r>
    <d v="2026-06-10T00:00:00"/>
    <s v="COPOWER"/>
    <s v="COSTAYACO"/>
    <x v="12"/>
    <n v="10"/>
    <n v="14"/>
    <n v="3879"/>
    <n v="0"/>
    <n v="0"/>
    <n v="0"/>
    <n v="24"/>
    <n v="0"/>
    <x v="0"/>
    <s v=" equipo en stop  CPW010, Por solicitud de CCM por actividades programadas de maniobras de conexion salida de potencia generadores cpw-10,cpw-11 y cpw-12 al tablero 480 V Ryctel copower. // Ingresa en linea a las 19:59 horas.  09:44 hrs equipo CPW010 Sale de linea por pruebas del equipo CPW011."/>
  </r>
  <r>
    <d v="2026-06-11T00:00:00"/>
    <s v="COPOWER"/>
    <s v="COSTAYACO"/>
    <x v="0"/>
    <n v="24"/>
    <n v="0"/>
    <n v="16130"/>
    <n v="0"/>
    <n v="0"/>
    <n v="0"/>
    <n v="24"/>
    <n v="0"/>
    <x v="0"/>
    <m/>
  </r>
  <r>
    <d v="2026-06-11T00:00:00"/>
    <s v="COPOWER"/>
    <s v="COSTAYACO"/>
    <x v="1"/>
    <n v="24"/>
    <n v="0"/>
    <n v="14247"/>
    <n v="0"/>
    <n v="0"/>
    <n v="0"/>
    <n v="24"/>
    <n v="0"/>
    <x v="0"/>
    <m/>
  </r>
  <r>
    <d v="2026-06-11T00:00:00"/>
    <s v="COPOWER"/>
    <s v="COSTAYACO"/>
    <x v="2"/>
    <n v="19"/>
    <n v="0"/>
    <n v="11644"/>
    <n v="0"/>
    <n v="5"/>
    <n v="0"/>
    <n v="24"/>
    <n v="1"/>
    <x v="1"/>
    <s v="Sale por detonación equipo 15/06 sin reporte de falla."/>
  </r>
  <r>
    <d v="2026-06-11T00:00:00"/>
    <s v="COPOWER"/>
    <s v="COSTAYACO"/>
    <x v="3"/>
    <n v="24"/>
    <n v="0"/>
    <n v="21522"/>
    <n v="0"/>
    <n v="0"/>
    <n v="0"/>
    <n v="24"/>
    <n v="0"/>
    <x v="0"/>
    <m/>
  </r>
  <r>
    <d v="2026-06-11T00:00:00"/>
    <s v="COPOWER"/>
    <s v="COSTAYACO"/>
    <x v="4"/>
    <n v="24"/>
    <n v="0"/>
    <n v="20647"/>
    <n v="0"/>
    <n v="0"/>
    <n v="0"/>
    <n v="24"/>
    <n v="0"/>
    <x v="0"/>
    <m/>
  </r>
  <r>
    <d v="2026-06-11T00:00:00"/>
    <s v="COPOWER"/>
    <s v="COSTAYACO"/>
    <x v="5"/>
    <n v="24"/>
    <n v="0"/>
    <n v="21093"/>
    <n v="0"/>
    <n v="0"/>
    <n v="0"/>
    <n v="24"/>
    <n v="0"/>
    <x v="0"/>
    <m/>
  </r>
  <r>
    <d v="2026-06-11T00:00:00"/>
    <s v="COPOWER"/>
    <s v="COSTAYACO"/>
    <x v="6"/>
    <n v="24"/>
    <n v="0"/>
    <n v="16068"/>
    <n v="0"/>
    <n v="0"/>
    <n v="0"/>
    <n v="24"/>
    <n v="0"/>
    <x v="0"/>
    <m/>
  </r>
  <r>
    <d v="2026-06-11T00:00:00"/>
    <s v="COPOWER"/>
    <s v="COSTAYACO"/>
    <x v="12"/>
    <n v="0"/>
    <n v="24"/>
    <n v="0"/>
    <n v="0"/>
    <n v="0"/>
    <n v="0"/>
    <n v="24"/>
    <n v="0"/>
    <x v="0"/>
    <s v="Equipo en eStand by debido a pruebas con cargar JIN-11 y JIN-12"/>
  </r>
  <r>
    <d v="2026-06-11T00:00:00"/>
    <s v="COPOWER"/>
    <s v="COSTAYACO"/>
    <x v="7"/>
    <n v="0"/>
    <n v="24"/>
    <n v="185"/>
    <n v="0"/>
    <n v="0"/>
    <n v="0"/>
    <n v="24"/>
    <n v="0"/>
    <x v="0"/>
    <m/>
  </r>
  <r>
    <d v="2026-06-11T00:00:00"/>
    <s v="COPOWER"/>
    <s v="COSTAYACO"/>
    <x v="8"/>
    <n v="0"/>
    <n v="24"/>
    <n v="0"/>
    <n v="0"/>
    <n v="0"/>
    <n v="0"/>
    <n v="24"/>
    <n v="0"/>
    <x v="0"/>
    <m/>
  </r>
  <r>
    <d v="2026-06-11T00:00:00"/>
    <s v="COPOWER"/>
    <s v="COSTAYACO"/>
    <x v="9"/>
    <n v="0"/>
    <n v="24"/>
    <n v="0"/>
    <n v="0"/>
    <n v="0"/>
    <n v="0"/>
    <n v="24"/>
    <n v="0"/>
    <x v="0"/>
    <m/>
  </r>
  <r>
    <d v="2026-06-11T00:00:00"/>
    <s v="COPOWER"/>
    <s v="VONU"/>
    <x v="10"/>
    <n v="24"/>
    <n v="0"/>
    <n v="9599"/>
    <n v="0"/>
    <n v="0"/>
    <n v="0"/>
    <n v="24"/>
    <n v="0"/>
    <x v="0"/>
    <m/>
  </r>
  <r>
    <d v="2026-06-11T00:00:00"/>
    <s v="COPOWER"/>
    <s v="VONU"/>
    <x v="11"/>
    <n v="24"/>
    <n v="0"/>
    <n v="8400"/>
    <n v="0"/>
    <n v="0"/>
    <n v="0"/>
    <n v="24"/>
    <n v="0"/>
    <x v="0"/>
    <m/>
  </r>
  <r>
    <d v="2026-06-12T00:00:00"/>
    <s v="COPOWER"/>
    <s v="COSTAYACO"/>
    <x v="0"/>
    <n v="18"/>
    <n v="6"/>
    <n v="11901"/>
    <n v="0"/>
    <n v="0"/>
    <n v="0"/>
    <n v="24"/>
    <n v="0"/>
    <x v="0"/>
    <s v="SD por falla del SIN"/>
  </r>
  <r>
    <d v="2026-06-12T00:00:00"/>
    <s v="COPOWER"/>
    <s v="COSTAYACO"/>
    <x v="1"/>
    <n v="22"/>
    <n v="2"/>
    <n v="13111"/>
    <n v="0"/>
    <n v="0"/>
    <n v="0"/>
    <n v="24"/>
    <n v="0"/>
    <x v="0"/>
    <s v="SD por falla del SIN"/>
  </r>
  <r>
    <d v="2026-06-12T00:00:00"/>
    <s v="COPOWER"/>
    <s v="COSTAYACO"/>
    <x v="2"/>
    <n v="19"/>
    <n v="5"/>
    <n v="11704"/>
    <n v="0"/>
    <n v="0"/>
    <n v="0"/>
    <n v="24"/>
    <n v="0"/>
    <x v="0"/>
    <s v="SD por falla del SIN"/>
  </r>
  <r>
    <d v="2026-06-12T00:00:00"/>
    <s v="COPOWER"/>
    <s v="COSTAYACO"/>
    <x v="3"/>
    <n v="22"/>
    <n v="2"/>
    <n v="18021"/>
    <n v="0"/>
    <n v="0"/>
    <n v="0"/>
    <n v="24"/>
    <n v="0"/>
    <x v="0"/>
    <s v="SD por falla del SIN"/>
  </r>
  <r>
    <d v="2026-06-12T00:00:00"/>
    <s v="COPOWER"/>
    <s v="COSTAYACO"/>
    <x v="4"/>
    <n v="23"/>
    <n v="1"/>
    <n v="18286"/>
    <n v="0"/>
    <n v="0"/>
    <n v="0"/>
    <n v="24"/>
    <n v="0"/>
    <x v="0"/>
    <s v="SD por falla del SIN"/>
  </r>
  <r>
    <d v="2026-06-12T00:00:00"/>
    <s v="COPOWER"/>
    <s v="COSTAYACO"/>
    <x v="5"/>
    <n v="19"/>
    <n v="5"/>
    <n v="14880"/>
    <n v="0"/>
    <n v="0"/>
    <n v="0"/>
    <n v="24"/>
    <n v="0"/>
    <x v="0"/>
    <s v="SD por falla del SIN"/>
  </r>
  <r>
    <d v="2026-06-12T00:00:00"/>
    <s v="COPOWER"/>
    <s v="COSTAYACO"/>
    <x v="6"/>
    <n v="19"/>
    <n v="5"/>
    <n v="12982"/>
    <n v="0"/>
    <n v="0"/>
    <n v="0"/>
    <n v="24"/>
    <n v="0"/>
    <x v="0"/>
    <s v="SD por falla del SIN"/>
  </r>
  <r>
    <d v="2026-06-12T00:00:00"/>
    <s v="COPOWER"/>
    <s v="COSTAYACO"/>
    <x v="12"/>
    <n v="11"/>
    <n v="13"/>
    <n v="4244"/>
    <n v="0"/>
    <n v="0"/>
    <n v="0"/>
    <n v="24"/>
    <n v="0"/>
    <x v="0"/>
    <s v="pruebas con carga jin 11-12"/>
  </r>
  <r>
    <d v="2026-06-12T00:00:00"/>
    <s v="COPOWER"/>
    <s v="COSTAYACO"/>
    <x v="13"/>
    <n v="6"/>
    <n v="18"/>
    <n v="1602"/>
    <n v="0"/>
    <n v="0"/>
    <n v="0"/>
    <n v="24"/>
    <n v="0"/>
    <x v="0"/>
    <s v="ingreso a operación Stand by por dsiponibilidad de gas"/>
  </r>
  <r>
    <d v="2026-06-12T00:00:00"/>
    <s v="COPOWER"/>
    <s v="COSTAYACO"/>
    <x v="14"/>
    <n v="3"/>
    <n v="21"/>
    <n v="1356"/>
    <n v="0"/>
    <n v="0"/>
    <n v="0"/>
    <n v="24"/>
    <n v="0"/>
    <x v="0"/>
    <s v="ingreso a operación Stand by por dsiponibilidad de gas"/>
  </r>
  <r>
    <d v="2026-06-12T00:00:00"/>
    <s v="COPOWER"/>
    <s v="COSTAYACO"/>
    <x v="7"/>
    <n v="3"/>
    <n v="21"/>
    <n v="8302"/>
    <n v="0"/>
    <n v="0"/>
    <n v="0"/>
    <n v="24"/>
    <n v="0"/>
    <x v="0"/>
    <s v="SD por falla del SIN"/>
  </r>
  <r>
    <d v="2026-06-12T00:00:00"/>
    <s v="COPOWER"/>
    <s v="COSTAYACO"/>
    <x v="8"/>
    <n v="7"/>
    <n v="17"/>
    <n v="8064"/>
    <n v="0"/>
    <n v="0"/>
    <n v="0"/>
    <n v="24"/>
    <n v="0"/>
    <x v="0"/>
    <s v="SD por falla del SIN"/>
  </r>
  <r>
    <d v="2026-06-12T00:00:00"/>
    <s v="COPOWER"/>
    <s v="COSTAYACO"/>
    <x v="9"/>
    <n v="7"/>
    <n v="17"/>
    <n v="4244"/>
    <n v="0"/>
    <n v="0"/>
    <n v="0"/>
    <n v="24"/>
    <n v="0"/>
    <x v="0"/>
    <s v="SD por falla del SIN"/>
  </r>
  <r>
    <d v="2026-06-12T00:00:00"/>
    <s v="COPOWER"/>
    <s v="VONU"/>
    <x v="10"/>
    <n v="21"/>
    <n v="3"/>
    <n v="1602"/>
    <n v="0"/>
    <n v="0"/>
    <n v="0"/>
    <n v="24"/>
    <n v="0"/>
    <x v="0"/>
    <s v="SD por falla del SIN"/>
  </r>
  <r>
    <d v="2026-06-12T00:00:00"/>
    <s v="COPOWER"/>
    <s v="VONU"/>
    <x v="11"/>
    <n v="21"/>
    <n v="3"/>
    <n v="1356"/>
    <n v="0"/>
    <n v="0"/>
    <n v="0"/>
    <n v="24"/>
    <n v="0"/>
    <x v="0"/>
    <s v="SD por falla del SIN"/>
  </r>
  <r>
    <d v="2026-06-13T00:00:00"/>
    <s v="COPOWER"/>
    <s v="COSTAYACO"/>
    <x v="0"/>
    <n v="24"/>
    <n v="0"/>
    <n v="15621"/>
    <n v="0"/>
    <n v="0"/>
    <n v="0"/>
    <n v="24"/>
    <n v="0"/>
    <x v="0"/>
    <m/>
  </r>
  <r>
    <d v="2026-06-13T00:00:00"/>
    <s v="COPOWER"/>
    <s v="COSTAYACO"/>
    <x v="1"/>
    <n v="24"/>
    <n v="0"/>
    <n v="15536"/>
    <n v="0"/>
    <n v="0"/>
    <n v="0"/>
    <n v="24"/>
    <n v="0"/>
    <x v="0"/>
    <m/>
  </r>
  <r>
    <d v="2026-06-13T00:00:00"/>
    <s v="COPOWER"/>
    <s v="COSTAYACO"/>
    <x v="2"/>
    <n v="24"/>
    <n v="0"/>
    <n v="15135"/>
    <n v="0"/>
    <n v="0"/>
    <n v="0"/>
    <n v="24"/>
    <n v="0"/>
    <x v="0"/>
    <m/>
  </r>
  <r>
    <d v="2026-06-13T00:00:00"/>
    <s v="COPOWER"/>
    <s v="COSTAYACO"/>
    <x v="3"/>
    <n v="24"/>
    <n v="0"/>
    <n v="20831"/>
    <n v="0"/>
    <n v="0"/>
    <n v="0"/>
    <n v="24"/>
    <n v="0"/>
    <x v="0"/>
    <m/>
  </r>
  <r>
    <d v="2026-06-13T00:00:00"/>
    <s v="COPOWER"/>
    <s v="COSTAYACO"/>
    <x v="4"/>
    <n v="24"/>
    <n v="0"/>
    <n v="20827"/>
    <n v="0"/>
    <n v="0"/>
    <n v="0"/>
    <n v="24"/>
    <n v="0"/>
    <x v="0"/>
    <m/>
  </r>
  <r>
    <d v="2026-06-13T00:00:00"/>
    <s v="COPOWER"/>
    <s v="COSTAYACO"/>
    <x v="5"/>
    <n v="24"/>
    <n v="0"/>
    <n v="21212"/>
    <n v="0"/>
    <n v="0"/>
    <n v="0"/>
    <n v="24"/>
    <n v="0"/>
    <x v="0"/>
    <m/>
  </r>
  <r>
    <d v="2026-06-13T00:00:00"/>
    <s v="COPOWER"/>
    <s v="COSTAYACO"/>
    <x v="6"/>
    <n v="24"/>
    <n v="0"/>
    <n v="16000"/>
    <n v="0"/>
    <n v="0"/>
    <n v="0"/>
    <n v="24"/>
    <n v="0"/>
    <x v="0"/>
    <m/>
  </r>
  <r>
    <d v="2026-06-13T00:00:00"/>
    <s v="COPOWER"/>
    <s v="COSTAYACO"/>
    <x v="12"/>
    <n v="15"/>
    <n v="9"/>
    <n v="5782"/>
    <n v="0"/>
    <n v="0"/>
    <n v="0"/>
    <n v="24"/>
    <n v="0"/>
    <x v="0"/>
    <m/>
  </r>
  <r>
    <d v="2026-06-13T00:00:00"/>
    <s v="COPOWER"/>
    <s v="COSTAYACO"/>
    <x v="13"/>
    <n v="14"/>
    <n v="10"/>
    <n v="5802"/>
    <n v="0"/>
    <n v="0"/>
    <n v="0"/>
    <n v="24"/>
    <n v="0"/>
    <x v="0"/>
    <m/>
  </r>
  <r>
    <d v="2026-06-13T00:00:00"/>
    <s v="COPOWER"/>
    <s v="COSTAYACO"/>
    <x v="14"/>
    <n v="0"/>
    <n v="24"/>
    <n v="0"/>
    <n v="0"/>
    <n v="0"/>
    <n v="0"/>
    <n v="24"/>
    <n v="0"/>
    <x v="0"/>
    <m/>
  </r>
  <r>
    <d v="2026-06-13T00:00:00"/>
    <s v="COPOWER"/>
    <s v="COSTAYACO"/>
    <x v="7"/>
    <n v="0"/>
    <n v="24"/>
    <n v="0"/>
    <n v="0"/>
    <n v="0"/>
    <n v="0"/>
    <n v="24"/>
    <n v="0"/>
    <x v="0"/>
    <m/>
  </r>
  <r>
    <d v="2026-06-13T00:00:00"/>
    <s v="COPOWER"/>
    <s v="COSTAYACO"/>
    <x v="8"/>
    <n v="2"/>
    <n v="22"/>
    <n v="1788"/>
    <n v="0"/>
    <n v="0"/>
    <n v="0"/>
    <n v="24"/>
    <n v="0"/>
    <x v="0"/>
    <s v="Opeación en modo ISLA falla del SIN"/>
  </r>
  <r>
    <d v="2026-06-13T00:00:00"/>
    <s v="COPOWER"/>
    <s v="COSTAYACO"/>
    <x v="9"/>
    <n v="0"/>
    <n v="24"/>
    <n v="0"/>
    <n v="0"/>
    <n v="0"/>
    <n v="0"/>
    <n v="24"/>
    <n v="0"/>
    <x v="0"/>
    <m/>
  </r>
  <r>
    <d v="2026-06-13T00:00:00"/>
    <s v="COPOWER"/>
    <s v="VONU"/>
    <x v="10"/>
    <n v="24"/>
    <n v="0"/>
    <n v="5802"/>
    <n v="0"/>
    <n v="0"/>
    <n v="0"/>
    <n v="24"/>
    <n v="0"/>
    <x v="0"/>
    <m/>
  </r>
  <r>
    <d v="2026-06-13T00:00:00"/>
    <s v="COPOWER"/>
    <s v="VONU"/>
    <x v="11"/>
    <n v="24"/>
    <n v="0"/>
    <n v="0"/>
    <n v="0"/>
    <n v="0"/>
    <n v="0"/>
    <n v="24"/>
    <n v="0"/>
    <x v="0"/>
    <m/>
  </r>
  <r>
    <d v="2026-06-14T00:00:00"/>
    <s v="COPOWER"/>
    <s v="COSTAYACO"/>
    <x v="0"/>
    <n v="24"/>
    <n v="0"/>
    <n v="16081"/>
    <n v="0"/>
    <n v="0"/>
    <n v="0"/>
    <n v="24"/>
    <n v="0"/>
    <x v="0"/>
    <m/>
  </r>
  <r>
    <d v="2026-06-14T00:00:00"/>
    <s v="COPOWER"/>
    <s v="COSTAYACO"/>
    <x v="1"/>
    <n v="24"/>
    <n v="0"/>
    <n v="15924"/>
    <n v="0"/>
    <n v="0"/>
    <n v="0"/>
    <n v="24"/>
    <n v="0"/>
    <x v="0"/>
    <m/>
  </r>
  <r>
    <d v="2026-06-14T00:00:00"/>
    <s v="COPOWER"/>
    <s v="COSTAYACO"/>
    <x v="2"/>
    <n v="24"/>
    <n v="0"/>
    <n v="15887"/>
    <n v="0"/>
    <n v="0"/>
    <n v="0"/>
    <n v="24"/>
    <n v="0"/>
    <x v="0"/>
    <m/>
  </r>
  <r>
    <d v="2026-06-14T00:00:00"/>
    <s v="COPOWER"/>
    <s v="COSTAYACO"/>
    <x v="3"/>
    <n v="24"/>
    <n v="0"/>
    <n v="21490"/>
    <n v="0"/>
    <n v="0"/>
    <n v="0"/>
    <n v="24"/>
    <n v="0"/>
    <x v="0"/>
    <m/>
  </r>
  <r>
    <d v="2026-06-14T00:00:00"/>
    <s v="COPOWER"/>
    <s v="COSTAYACO"/>
    <x v="4"/>
    <n v="24"/>
    <n v="0"/>
    <n v="20708"/>
    <n v="0"/>
    <n v="0"/>
    <n v="0"/>
    <n v="24"/>
    <n v="0"/>
    <x v="0"/>
    <m/>
  </r>
  <r>
    <d v="2026-06-14T00:00:00"/>
    <s v="COPOWER"/>
    <s v="COSTAYACO"/>
    <x v="5"/>
    <n v="24"/>
    <n v="0"/>
    <n v="21263"/>
    <n v="0"/>
    <n v="0"/>
    <n v="0"/>
    <n v="24"/>
    <n v="0"/>
    <x v="0"/>
    <m/>
  </r>
  <r>
    <d v="2026-06-14T00:00:00"/>
    <s v="COPOWER"/>
    <s v="COSTAYACO"/>
    <x v="6"/>
    <n v="24"/>
    <n v="0"/>
    <n v="16144"/>
    <n v="0"/>
    <n v="0"/>
    <n v="0"/>
    <n v="24"/>
    <n v="0"/>
    <x v="0"/>
    <m/>
  </r>
  <r>
    <d v="2026-06-14T00:00:00"/>
    <s v="COPOWER"/>
    <s v="COSTAYACO"/>
    <x v="12"/>
    <n v="24"/>
    <n v="0"/>
    <n v="8068"/>
    <n v="0"/>
    <n v="0"/>
    <n v="0"/>
    <n v="24"/>
    <n v="0"/>
    <x v="0"/>
    <m/>
  </r>
  <r>
    <d v="2026-06-14T00:00:00"/>
    <s v="COPOWER"/>
    <s v="COSTAYACO"/>
    <x v="13"/>
    <n v="6"/>
    <n v="18"/>
    <n v="2557"/>
    <n v="0"/>
    <n v="0"/>
    <n v="0"/>
    <n v="24"/>
    <n v="0"/>
    <x v="0"/>
    <s v="Disponibilidad de gas CYC"/>
  </r>
  <r>
    <d v="2026-06-14T00:00:00"/>
    <s v="COPOWER"/>
    <s v="COSTAYACO"/>
    <x v="14"/>
    <n v="14"/>
    <n v="10"/>
    <n v="5613"/>
    <n v="0"/>
    <n v="0"/>
    <n v="0"/>
    <n v="24"/>
    <n v="0"/>
    <x v="0"/>
    <s v="Disponibilidad de gas CYC"/>
  </r>
  <r>
    <d v="2026-06-14T00:00:00"/>
    <s v="COPOWER"/>
    <s v="COSTAYACO"/>
    <x v="7"/>
    <n v="0"/>
    <n v="24"/>
    <n v="194"/>
    <n v="0"/>
    <n v="0"/>
    <n v="0"/>
    <n v="24"/>
    <n v="0"/>
    <x v="0"/>
    <m/>
  </r>
  <r>
    <d v="2026-06-14T00:00:00"/>
    <s v="COPOWER"/>
    <s v="COSTAYACO"/>
    <x v="8"/>
    <n v="0"/>
    <n v="24"/>
    <n v="0"/>
    <n v="0"/>
    <n v="0"/>
    <n v="0"/>
    <n v="24"/>
    <n v="0"/>
    <x v="0"/>
    <m/>
  </r>
  <r>
    <d v="2026-06-14T00:00:00"/>
    <s v="COPOWER"/>
    <s v="COSTAYACO"/>
    <x v="9"/>
    <n v="0"/>
    <n v="24"/>
    <n v="0"/>
    <n v="0"/>
    <n v="0"/>
    <n v="0"/>
    <n v="24"/>
    <n v="0"/>
    <x v="0"/>
    <m/>
  </r>
  <r>
    <d v="2026-06-14T00:00:00"/>
    <s v="COPOWER"/>
    <s v="VONU"/>
    <x v="10"/>
    <n v="24"/>
    <n v="0"/>
    <n v="9596"/>
    <n v="0"/>
    <n v="0"/>
    <n v="0"/>
    <n v="24"/>
    <n v="0"/>
    <x v="0"/>
    <m/>
  </r>
  <r>
    <d v="2026-06-14T00:00:00"/>
    <s v="COPOWER"/>
    <s v="VONU"/>
    <x v="11"/>
    <n v="24"/>
    <n v="0"/>
    <n v="8397"/>
    <n v="0"/>
    <n v="0"/>
    <n v="0"/>
    <n v="24"/>
    <n v="0"/>
    <x v="0"/>
    <m/>
  </r>
  <r>
    <d v="2026-06-15T00:00:00"/>
    <s v="COPOWER"/>
    <s v="COSTAYACO"/>
    <x v="0"/>
    <n v="18"/>
    <n v="6"/>
    <n v="11816"/>
    <n v="0"/>
    <n v="0"/>
    <n v="0"/>
    <n v="24"/>
    <n v="0"/>
    <x v="0"/>
    <s v="SD general de Campo por falla del SIN - Pendiente verificar tiempos y procedimiento de arranque 6 horas para arrancar."/>
  </r>
  <r>
    <d v="2026-06-15T00:00:00"/>
    <s v="COPOWER"/>
    <s v="COSTAYACO"/>
    <x v="1"/>
    <n v="22"/>
    <n v="2"/>
    <n v="14386"/>
    <n v="0"/>
    <n v="0"/>
    <n v="0"/>
    <n v="24"/>
    <n v="0"/>
    <x v="0"/>
    <s v="SD general de Campo por falla del SIN"/>
  </r>
  <r>
    <d v="2026-06-15T00:00:00"/>
    <s v="COPOWER"/>
    <s v="COSTAYACO"/>
    <x v="2"/>
    <n v="18"/>
    <n v="6"/>
    <n v="11827"/>
    <n v="0"/>
    <n v="0"/>
    <n v="0"/>
    <n v="24"/>
    <n v="0"/>
    <x v="0"/>
    <s v="SD general de Campo por falla del SIN - Pendiente verificar tiempos y procedimiento de arranque 6 horas para arrancar."/>
  </r>
  <r>
    <d v="2026-06-15T00:00:00"/>
    <s v="COPOWER"/>
    <s v="COSTAYACO"/>
    <x v="3"/>
    <n v="21"/>
    <n v="3"/>
    <n v="17774"/>
    <n v="0"/>
    <n v="0"/>
    <n v="0"/>
    <n v="24"/>
    <n v="0"/>
    <x v="0"/>
    <s v="SD general de Campo por falla del SIN"/>
  </r>
  <r>
    <d v="2026-06-15T00:00:00"/>
    <s v="COPOWER"/>
    <s v="COSTAYACO"/>
    <x v="4"/>
    <n v="21"/>
    <n v="3"/>
    <n v="18278"/>
    <n v="0"/>
    <n v="0"/>
    <n v="0"/>
    <n v="24"/>
    <n v="0"/>
    <x v="0"/>
    <s v="SD general de Campo por falla del SIN"/>
  </r>
  <r>
    <d v="2026-06-15T00:00:00"/>
    <s v="COPOWER"/>
    <s v="COSTAYACO"/>
    <x v="5"/>
    <n v="18"/>
    <n v="6"/>
    <n v="15761"/>
    <n v="0"/>
    <n v="0"/>
    <n v="0"/>
    <n v="24"/>
    <n v="0"/>
    <x v="0"/>
    <s v="SD general de Campo por falla del SIN - Pendiente verificar tiempos y procedimiento de arranque 6 horas para arrancar."/>
  </r>
  <r>
    <d v="2026-06-15T00:00:00"/>
    <s v="COPOWER"/>
    <s v="COSTAYACO"/>
    <x v="6"/>
    <n v="17"/>
    <n v="7"/>
    <n v="11395"/>
    <n v="0"/>
    <n v="0"/>
    <n v="0"/>
    <n v="24"/>
    <n v="0"/>
    <x v="0"/>
    <s v="SD general de Campo por falla del SIN"/>
  </r>
  <r>
    <d v="2026-06-15T00:00:00"/>
    <s v="COPOWER"/>
    <s v="COSTAYACO"/>
    <x v="12"/>
    <n v="18"/>
    <n v="6"/>
    <n v="7025"/>
    <n v="0"/>
    <n v="0"/>
    <n v="0"/>
    <n v="24"/>
    <n v="0"/>
    <x v="0"/>
    <s v="SD general de Campo por falla del SIN"/>
  </r>
  <r>
    <d v="2026-06-15T00:00:00"/>
    <s v="COPOWER"/>
    <s v="COSTAYACO"/>
    <x v="13"/>
    <n v="1"/>
    <n v="23"/>
    <n v="287"/>
    <n v="0"/>
    <n v="0"/>
    <n v="0"/>
    <n v="24"/>
    <n v="0"/>
    <x v="0"/>
    <s v="SD general de Campo por falla del SIN"/>
  </r>
  <r>
    <d v="2026-06-15T00:00:00"/>
    <s v="COPOWER"/>
    <s v="COSTAYACO"/>
    <x v="14"/>
    <n v="16"/>
    <n v="8"/>
    <n v="6694"/>
    <n v="0"/>
    <n v="0"/>
    <n v="0"/>
    <n v="24"/>
    <n v="0"/>
    <x v="0"/>
    <s v="SD general de Campo por falla del SIN"/>
  </r>
  <r>
    <d v="2026-06-15T00:00:00"/>
    <s v="COPOWER"/>
    <s v="COSTAYACO"/>
    <x v="7"/>
    <n v="7"/>
    <n v="17"/>
    <n v="2446"/>
    <n v="0"/>
    <n v="0"/>
    <n v="0"/>
    <n v="24"/>
    <n v="0"/>
    <x v="0"/>
    <s v="SD general de Campo por falla del SIN"/>
  </r>
  <r>
    <d v="2026-06-15T00:00:00"/>
    <s v="COPOWER"/>
    <s v="COSTAYACO"/>
    <x v="8"/>
    <n v="7"/>
    <n v="17"/>
    <n v="4573"/>
    <n v="0"/>
    <n v="0"/>
    <n v="0"/>
    <n v="24"/>
    <n v="0"/>
    <x v="0"/>
    <s v="SD general de Campo por falla del SIN"/>
  </r>
  <r>
    <d v="2026-06-15T00:00:00"/>
    <s v="COPOWER"/>
    <s v="COSTAYACO"/>
    <x v="9"/>
    <n v="6"/>
    <n v="18"/>
    <n v="4457"/>
    <n v="0"/>
    <n v="0"/>
    <n v="0"/>
    <n v="24"/>
    <n v="0"/>
    <x v="0"/>
    <s v="SD general de Campo por falla del SIN"/>
  </r>
  <r>
    <d v="2026-06-15T00:00:00"/>
    <s v="COPOWER"/>
    <s v="VONU"/>
    <x v="10"/>
    <n v="22"/>
    <n v="2"/>
    <n v="8129"/>
    <n v="0"/>
    <n v="0"/>
    <n v="0"/>
    <n v="24"/>
    <n v="0"/>
    <x v="0"/>
    <s v="SD general de Campo por falla del SIN"/>
  </r>
  <r>
    <d v="2026-06-15T00:00:00"/>
    <s v="COPOWER"/>
    <s v="VONU"/>
    <x v="11"/>
    <n v="22"/>
    <n v="2"/>
    <n v="7569"/>
    <n v="0"/>
    <n v="0"/>
    <n v="0"/>
    <n v="24"/>
    <n v="0"/>
    <x v="0"/>
    <s v="SD general de Campo por falla del SIN"/>
  </r>
  <r>
    <d v="2026-06-16T00:00:00"/>
    <s v="COPOWER"/>
    <s v="COSTAYACO"/>
    <x v="0"/>
    <n v="12"/>
    <n v="12"/>
    <n v="6998"/>
    <n v="0"/>
    <n v="0"/>
    <n v="0"/>
    <n v="24"/>
    <n v="0"/>
    <x v="0"/>
    <s v="Traslado de servicios auxiliares Equipos J320"/>
  </r>
  <r>
    <d v="2026-06-16T00:00:00"/>
    <s v="COPOWER"/>
    <s v="COSTAYACO"/>
    <x v="1"/>
    <n v="12"/>
    <n v="12"/>
    <n v="6423"/>
    <n v="0"/>
    <n v="0"/>
    <n v="0"/>
    <n v="24"/>
    <n v="0"/>
    <x v="0"/>
    <s v="Traslado de servicios auxiliares Equipos J320"/>
  </r>
  <r>
    <d v="2026-06-16T00:00:00"/>
    <s v="COPOWER"/>
    <s v="COSTAYACO"/>
    <x v="2"/>
    <n v="10"/>
    <n v="14"/>
    <n v="6505"/>
    <n v="0"/>
    <n v="0"/>
    <n v="0"/>
    <n v="24"/>
    <n v="0"/>
    <x v="0"/>
    <s v="Traslado de servicios auxiliares Equipos J320"/>
  </r>
  <r>
    <d v="2026-06-16T00:00:00"/>
    <s v="COPOWER"/>
    <s v="COSTAYACO"/>
    <x v="3"/>
    <n v="24"/>
    <n v="0"/>
    <n v="20222"/>
    <n v="0"/>
    <n v="0"/>
    <n v="0"/>
    <n v="24"/>
    <n v="0"/>
    <x v="0"/>
    <m/>
  </r>
  <r>
    <d v="2026-06-16T00:00:00"/>
    <s v="COPOWER"/>
    <s v="COSTAYACO"/>
    <x v="4"/>
    <n v="24"/>
    <n v="0"/>
    <n v="20851"/>
    <n v="0"/>
    <n v="0"/>
    <n v="0"/>
    <n v="24"/>
    <n v="0"/>
    <x v="0"/>
    <m/>
  </r>
  <r>
    <d v="2026-06-16T00:00:00"/>
    <s v="COPOWER"/>
    <s v="COSTAYACO"/>
    <x v="5"/>
    <n v="23"/>
    <n v="1"/>
    <n v="16397"/>
    <n v="0"/>
    <n v="0"/>
    <n v="0"/>
    <n v="24"/>
    <n v="0"/>
    <x v="0"/>
    <s v="Traslado de servicios auxiliares Equipos J320 - pasa a operar con gas MQT+"/>
  </r>
  <r>
    <d v="2026-06-16T00:00:00"/>
    <s v="COPOWER"/>
    <s v="COSTAYACO"/>
    <x v="6"/>
    <n v="9"/>
    <n v="15"/>
    <n v="6473"/>
    <n v="0"/>
    <n v="0"/>
    <n v="0"/>
    <n v="24"/>
    <n v="0"/>
    <x v="0"/>
    <s v="Traslado de servicios auxiliares Equipos J320"/>
  </r>
  <r>
    <d v="2026-06-16T00:00:00"/>
    <s v="COPOWER"/>
    <s v="COSTAYACO"/>
    <x v="12"/>
    <n v="22"/>
    <n v="2"/>
    <n v="8763"/>
    <n v="0"/>
    <n v="0"/>
    <n v="0"/>
    <n v="24"/>
    <n v="0"/>
    <x v="0"/>
    <m/>
  </r>
  <r>
    <d v="2026-06-16T00:00:00"/>
    <s v="COPOWER"/>
    <s v="COSTAYACO"/>
    <x v="13"/>
    <n v="9"/>
    <n v="15"/>
    <n v="2932"/>
    <n v="0"/>
    <n v="0"/>
    <n v="0"/>
    <n v="24"/>
    <n v="0"/>
    <x v="0"/>
    <s v="Disponibilidad de gas CYC"/>
  </r>
  <r>
    <d v="2026-06-16T00:00:00"/>
    <s v="COPOWER"/>
    <s v="COSTAYACO"/>
    <x v="14"/>
    <n v="6"/>
    <n v="18"/>
    <n v="1703"/>
    <n v="0"/>
    <n v="0"/>
    <n v="0"/>
    <n v="24"/>
    <n v="0"/>
    <x v="0"/>
    <s v="Disponibilidad de gas CYC"/>
  </r>
  <r>
    <d v="2026-06-16T00:00:00"/>
    <s v="COPOWER"/>
    <s v="COSTAYACO"/>
    <x v="7"/>
    <n v="2"/>
    <n v="22"/>
    <n v="537"/>
    <n v="0"/>
    <n v="0"/>
    <n v="0"/>
    <n v="24"/>
    <n v="0"/>
    <x v="0"/>
    <s v="Respaldo manionbra MRU - operación ISLA"/>
  </r>
  <r>
    <d v="2026-06-16T00:00:00"/>
    <s v="COPOWER"/>
    <s v="COSTAYACO"/>
    <x v="8"/>
    <n v="8"/>
    <n v="16"/>
    <n v="5947"/>
    <n v="0"/>
    <n v="0"/>
    <n v="0"/>
    <n v="24"/>
    <n v="0"/>
    <x v="0"/>
    <s v="Respaldo manionbra MRU - operación ISLA"/>
  </r>
  <r>
    <d v="2026-06-16T00:00:00"/>
    <s v="COPOWER"/>
    <s v="COSTAYACO"/>
    <x v="9"/>
    <n v="18"/>
    <n v="6"/>
    <n v="12706"/>
    <n v="0"/>
    <n v="0"/>
    <n v="0"/>
    <n v="24"/>
    <n v="0"/>
    <x v="0"/>
    <s v="Respaldo manionbra MRU - operación ISLA"/>
  </r>
  <r>
    <d v="2026-06-16T00:00:00"/>
    <s v="COPOWER"/>
    <s v="VONU"/>
    <x v="10"/>
    <n v="24"/>
    <n v="0"/>
    <n v="9596"/>
    <n v="0"/>
    <n v="0"/>
    <n v="0"/>
    <n v="24"/>
    <n v="0"/>
    <x v="0"/>
    <m/>
  </r>
  <r>
    <d v="2026-06-16T00:00:00"/>
    <s v="COPOWER"/>
    <s v="VONU"/>
    <x v="11"/>
    <n v="24"/>
    <n v="0"/>
    <n v="8176"/>
    <n v="0"/>
    <n v="0"/>
    <n v="0"/>
    <n v="24"/>
    <n v="0"/>
    <x v="0"/>
    <m/>
  </r>
  <r>
    <d v="2026-06-17T00:00:00"/>
    <s v="COPOWER"/>
    <s v="COSTAYACO"/>
    <x v="0"/>
    <n v="14"/>
    <n v="10"/>
    <n v="9259"/>
    <n v="0"/>
    <n v="0"/>
    <n v="0"/>
    <n v="24"/>
    <n v="0"/>
    <x v="0"/>
    <m/>
  </r>
  <r>
    <d v="2026-06-17T00:00:00"/>
    <s v="COPOWER"/>
    <s v="COSTAYACO"/>
    <x v="1"/>
    <n v="19"/>
    <n v="5"/>
    <n v="12373"/>
    <n v="0"/>
    <n v="0"/>
    <n v="0"/>
    <n v="24"/>
    <n v="0"/>
    <x v="0"/>
    <m/>
  </r>
  <r>
    <d v="2026-06-17T00:00:00"/>
    <s v="COPOWER"/>
    <s v="COSTAYACO"/>
    <x v="2"/>
    <n v="9"/>
    <n v="15"/>
    <n v="5181"/>
    <n v="0"/>
    <n v="0"/>
    <n v="0"/>
    <n v="24"/>
    <n v="0"/>
    <x v="0"/>
    <m/>
  </r>
  <r>
    <d v="2026-06-17T00:00:00"/>
    <s v="COPOWER"/>
    <s v="COSTAYACO"/>
    <x v="3"/>
    <n v="23"/>
    <n v="1"/>
    <n v="19920"/>
    <n v="0"/>
    <n v="0"/>
    <n v="0"/>
    <n v="24"/>
    <n v="0"/>
    <x v="0"/>
    <m/>
  </r>
  <r>
    <d v="2026-06-17T00:00:00"/>
    <s v="COPOWER"/>
    <s v="COSTAYACO"/>
    <x v="4"/>
    <n v="22"/>
    <n v="2"/>
    <n v="18316"/>
    <n v="0"/>
    <n v="0"/>
    <n v="0"/>
    <n v="24"/>
    <n v="0"/>
    <x v="0"/>
    <m/>
  </r>
  <r>
    <d v="2026-06-17T00:00:00"/>
    <s v="COPOWER"/>
    <s v="COSTAYACO"/>
    <x v="5"/>
    <n v="24"/>
    <n v="0"/>
    <n v="19881"/>
    <n v="0"/>
    <n v="0"/>
    <n v="0"/>
    <n v="24"/>
    <n v="0"/>
    <x v="0"/>
    <m/>
  </r>
  <r>
    <d v="2026-06-17T00:00:00"/>
    <s v="COPOWER"/>
    <s v="COSTAYACO"/>
    <x v="6"/>
    <n v="14"/>
    <n v="10"/>
    <n v="8613"/>
    <n v="0"/>
    <n v="0"/>
    <n v="0"/>
    <n v="24"/>
    <n v="0"/>
    <x v="0"/>
    <m/>
  </r>
  <r>
    <d v="2026-06-17T00:00:00"/>
    <s v="COPOWER"/>
    <s v="COSTAYACO"/>
    <x v="7"/>
    <n v="0"/>
    <n v="24"/>
    <n v="0"/>
    <n v="0"/>
    <n v="0"/>
    <n v="0"/>
    <n v="24"/>
    <n v="0"/>
    <x v="0"/>
    <m/>
  </r>
  <r>
    <d v="2026-06-17T00:00:00"/>
    <s v="COPOWER"/>
    <s v="COSTAYACO"/>
    <x v="8"/>
    <n v="1"/>
    <n v="23"/>
    <n v="1129"/>
    <n v="0"/>
    <n v="0"/>
    <n v="0"/>
    <n v="24"/>
    <n v="0"/>
    <x v="0"/>
    <m/>
  </r>
  <r>
    <d v="2026-06-17T00:00:00"/>
    <s v="COPOWER"/>
    <s v="COSTAYACO"/>
    <x v="9"/>
    <n v="11"/>
    <n v="13"/>
    <n v="8892"/>
    <n v="0"/>
    <n v="0"/>
    <n v="0"/>
    <n v="24"/>
    <n v="0"/>
    <x v="0"/>
    <m/>
  </r>
  <r>
    <d v="2026-06-17T00:00:00"/>
    <s v="COPOWER"/>
    <s v="VONU"/>
    <x v="10"/>
    <n v="24"/>
    <n v="0"/>
    <n v="9207"/>
    <n v="0"/>
    <n v="0"/>
    <n v="0"/>
    <n v="24"/>
    <n v="0"/>
    <x v="0"/>
    <m/>
  </r>
  <r>
    <d v="2026-06-17T00:00:00"/>
    <s v="COPOWER"/>
    <s v="VONU"/>
    <x v="11"/>
    <n v="24"/>
    <n v="0"/>
    <n v="8938"/>
    <n v="0"/>
    <n v="0"/>
    <n v="0"/>
    <n v="24"/>
    <n v="0"/>
    <x v="0"/>
    <m/>
  </r>
  <r>
    <d v="2026-06-17T00:00:00"/>
    <s v="COPOWER"/>
    <s v="COSTAYACO"/>
    <x v="12"/>
    <n v="23"/>
    <n v="1"/>
    <n v="8858"/>
    <n v="0"/>
    <n v="0"/>
    <n v="0"/>
    <n v="24"/>
    <n v="0"/>
    <x v="0"/>
    <m/>
  </r>
  <r>
    <d v="2026-06-17T00:00:00"/>
    <s v="COPOWER"/>
    <s v="COSTAYACO"/>
    <x v="13"/>
    <n v="9"/>
    <n v="15"/>
    <n v="2977"/>
    <n v="0"/>
    <n v="0"/>
    <n v="0"/>
    <n v="24"/>
    <n v="0"/>
    <x v="0"/>
    <m/>
  </r>
  <r>
    <d v="2026-06-17T00:00:00"/>
    <s v="COPOWER"/>
    <s v="COSTAYACO"/>
    <x v="14"/>
    <n v="20"/>
    <n v="4"/>
    <n v="3097"/>
    <n v="0"/>
    <n v="0"/>
    <n v="0"/>
    <n v="24"/>
    <n v="0"/>
    <x v="0"/>
    <m/>
  </r>
  <r>
    <d v="2026-06-18T00:00:00"/>
    <s v="COPOWER"/>
    <s v="COSTAYACO"/>
    <x v="0"/>
    <n v="24"/>
    <n v="0"/>
    <n v="15975"/>
    <n v="0"/>
    <n v="0"/>
    <n v="0"/>
    <n v="24"/>
    <n v="0"/>
    <x v="0"/>
    <m/>
  </r>
  <r>
    <d v="2026-06-18T00:00:00"/>
    <s v="COPOWER"/>
    <s v="COSTAYACO"/>
    <x v="1"/>
    <n v="24"/>
    <n v="0"/>
    <n v="15818"/>
    <n v="0"/>
    <n v="0"/>
    <n v="0"/>
    <n v="24"/>
    <n v="0"/>
    <x v="0"/>
    <m/>
  </r>
  <r>
    <d v="2026-06-18T00:00:00"/>
    <s v="COPOWER"/>
    <s v="COSTAYACO"/>
    <x v="2"/>
    <n v="24"/>
    <n v="0"/>
    <n v="15986"/>
    <n v="0"/>
    <n v="0"/>
    <n v="0"/>
    <n v="24"/>
    <n v="0"/>
    <x v="0"/>
    <m/>
  </r>
  <r>
    <d v="2026-06-18T00:00:00"/>
    <s v="COPOWER"/>
    <s v="COSTAYACO"/>
    <x v="3"/>
    <n v="24"/>
    <n v="0"/>
    <n v="20570"/>
    <n v="0"/>
    <n v="0"/>
    <n v="0"/>
    <n v="24"/>
    <n v="0"/>
    <x v="0"/>
    <m/>
  </r>
  <r>
    <d v="2026-06-18T00:00:00"/>
    <s v="COPOWER"/>
    <s v="COSTAYACO"/>
    <x v="4"/>
    <n v="24"/>
    <n v="0"/>
    <n v="20501"/>
    <n v="0"/>
    <n v="0"/>
    <n v="0"/>
    <n v="24"/>
    <n v="0"/>
    <x v="0"/>
    <m/>
  </r>
  <r>
    <d v="2026-06-18T00:00:00"/>
    <s v="COPOWER"/>
    <s v="COSTAYACO"/>
    <x v="5"/>
    <n v="24"/>
    <n v="0"/>
    <n v="20758"/>
    <n v="0"/>
    <n v="0"/>
    <n v="0"/>
    <n v="24"/>
    <n v="0"/>
    <x v="0"/>
    <m/>
  </r>
  <r>
    <d v="2026-06-18T00:00:00"/>
    <s v="COPOWER"/>
    <s v="COSTAYACO"/>
    <x v="6"/>
    <n v="24"/>
    <n v="0"/>
    <n v="16545"/>
    <n v="0"/>
    <n v="0"/>
    <n v="0"/>
    <n v="24"/>
    <n v="0"/>
    <x v="0"/>
    <m/>
  </r>
  <r>
    <d v="2026-06-18T00:00:00"/>
    <s v="COPOWER"/>
    <s v="COSTAYACO"/>
    <x v="7"/>
    <n v="0"/>
    <n v="24"/>
    <n v="0"/>
    <n v="0"/>
    <n v="0"/>
    <n v="0"/>
    <n v="24"/>
    <n v="0"/>
    <x v="0"/>
    <m/>
  </r>
  <r>
    <d v="2026-06-18T00:00:00"/>
    <s v="COPOWER"/>
    <s v="COSTAYACO"/>
    <x v="8"/>
    <n v="0"/>
    <n v="24"/>
    <n v="0"/>
    <n v="0"/>
    <n v="0"/>
    <n v="0"/>
    <n v="24"/>
    <n v="0"/>
    <x v="0"/>
    <m/>
  </r>
  <r>
    <d v="2026-06-18T00:00:00"/>
    <s v="COPOWER"/>
    <s v="COSTAYACO"/>
    <x v="9"/>
    <n v="0"/>
    <n v="24"/>
    <n v="0"/>
    <n v="0"/>
    <n v="0"/>
    <n v="0"/>
    <n v="24"/>
    <n v="0"/>
    <x v="0"/>
    <m/>
  </r>
  <r>
    <d v="2026-06-18T00:00:00"/>
    <s v="COPOWER"/>
    <s v="VONU"/>
    <x v="10"/>
    <n v="17"/>
    <n v="7"/>
    <n v="5266"/>
    <n v="0"/>
    <n v="0"/>
    <n v="0"/>
    <n v="24"/>
    <n v="0"/>
    <x v="0"/>
    <s v="7 horas de mantenimiento preventivo M2"/>
  </r>
  <r>
    <d v="2026-06-18T00:00:00"/>
    <s v="COPOWER"/>
    <s v="VONU"/>
    <x v="11"/>
    <n v="23"/>
    <n v="1"/>
    <n v="2461"/>
    <n v="0"/>
    <n v="0"/>
    <n v="0"/>
    <n v="24"/>
    <n v="0"/>
    <x v="0"/>
    <s v="5:10 am a 6:10 am salida por baja presion de gas CYC 19  4 psi  al momento de sacar el equipo manualmente"/>
  </r>
  <r>
    <d v="2026-06-18T00:00:00"/>
    <s v="COPOWER"/>
    <s v="COSTAYACO"/>
    <x v="12"/>
    <n v="14"/>
    <n v="10"/>
    <n v="5131"/>
    <n v="0"/>
    <n v="0"/>
    <n v="0"/>
    <n v="24"/>
    <n v="0"/>
    <x v="0"/>
    <s v="Salen de linea por baja presion de gas cyc 13 psi debido a fuertes lluvias en la madrugada"/>
  </r>
  <r>
    <d v="2026-06-18T00:00:00"/>
    <s v="COPOWER"/>
    <s v="COSTAYACO"/>
    <x v="13"/>
    <n v="8"/>
    <n v="16"/>
    <n v="6510"/>
    <n v="0"/>
    <n v="0"/>
    <n v="0"/>
    <n v="24"/>
    <n v="0"/>
    <x v="0"/>
    <s v="Sale de linea para recuperar presion de gas CYC "/>
  </r>
  <r>
    <d v="2026-06-18T00:00:00"/>
    <s v="COPOWER"/>
    <s v="COSTAYACO"/>
    <x v="14"/>
    <n v="15"/>
    <n v="9"/>
    <n v="8471"/>
    <n v="0"/>
    <n v="0"/>
    <n v="0"/>
    <n v="24"/>
    <n v="0"/>
    <x v="0"/>
    <s v="Salen de linea por baja presion de gas cyc 13 psi debido a fuertes lluvias en la madrugada"/>
  </r>
  <r>
    <d v="2026-06-19T00:00:00"/>
    <s v="COPOWER"/>
    <s v="COSTAYACO"/>
    <x v="0"/>
    <n v="24"/>
    <n v="0"/>
    <n v="15806"/>
    <n v="0"/>
    <n v="0"/>
    <n v="0"/>
    <n v="24"/>
    <n v="0"/>
    <x v="0"/>
    <m/>
  </r>
  <r>
    <d v="2026-06-19T00:00:00"/>
    <s v="COPOWER"/>
    <s v="COSTAYACO"/>
    <x v="1"/>
    <n v="24"/>
    <n v="0"/>
    <n v="15772"/>
    <n v="0"/>
    <n v="0"/>
    <n v="0"/>
    <n v="24"/>
    <n v="0"/>
    <x v="0"/>
    <m/>
  </r>
  <r>
    <d v="2026-06-19T00:00:00"/>
    <s v="COPOWER"/>
    <s v="COSTAYACO"/>
    <x v="2"/>
    <n v="24"/>
    <n v="0"/>
    <n v="15825"/>
    <n v="0"/>
    <n v="0"/>
    <n v="0"/>
    <n v="24"/>
    <n v="0"/>
    <x v="0"/>
    <m/>
  </r>
  <r>
    <d v="2026-06-19T00:00:00"/>
    <s v="COPOWER"/>
    <s v="COSTAYACO"/>
    <x v="3"/>
    <n v="24"/>
    <n v="0"/>
    <n v="20172"/>
    <n v="0"/>
    <n v="0"/>
    <n v="0"/>
    <n v="24"/>
    <n v="0"/>
    <x v="0"/>
    <m/>
  </r>
  <r>
    <d v="2026-06-19T00:00:00"/>
    <s v="COPOWER"/>
    <s v="COSTAYACO"/>
    <x v="4"/>
    <n v="24"/>
    <n v="0"/>
    <n v="20138"/>
    <n v="0"/>
    <n v="0"/>
    <n v="0"/>
    <n v="24"/>
    <n v="0"/>
    <x v="0"/>
    <m/>
  </r>
  <r>
    <d v="2026-06-19T00:00:00"/>
    <s v="COPOWER"/>
    <s v="COSTAYACO"/>
    <x v="5"/>
    <n v="24"/>
    <n v="0"/>
    <n v="20330"/>
    <n v="0"/>
    <n v="0"/>
    <n v="0"/>
    <n v="24"/>
    <n v="0"/>
    <x v="0"/>
    <m/>
  </r>
  <r>
    <d v="2026-06-19T00:00:00"/>
    <s v="COPOWER"/>
    <s v="COSTAYACO"/>
    <x v="6"/>
    <n v="24"/>
    <n v="0"/>
    <n v="16258"/>
    <n v="0"/>
    <n v="0"/>
    <n v="0"/>
    <n v="24"/>
    <n v="0"/>
    <x v="0"/>
    <m/>
  </r>
  <r>
    <d v="2026-06-19T00:00:00"/>
    <s v="COPOWER"/>
    <s v="COSTAYACO"/>
    <x v="7"/>
    <n v="0"/>
    <n v="24"/>
    <n v="0"/>
    <n v="0"/>
    <n v="0"/>
    <n v="0"/>
    <n v="24"/>
    <n v="0"/>
    <x v="0"/>
    <m/>
  </r>
  <r>
    <d v="2026-06-19T00:00:00"/>
    <s v="COPOWER"/>
    <s v="COSTAYACO"/>
    <x v="8"/>
    <n v="0"/>
    <n v="24"/>
    <n v="0"/>
    <n v="0"/>
    <n v="0"/>
    <n v="0"/>
    <n v="24"/>
    <n v="0"/>
    <x v="0"/>
    <m/>
  </r>
  <r>
    <d v="2026-06-19T00:00:00"/>
    <s v="COPOWER"/>
    <s v="COSTAYACO"/>
    <x v="9"/>
    <n v="0"/>
    <n v="24"/>
    <n v="0"/>
    <n v="0"/>
    <n v="0"/>
    <n v="0"/>
    <n v="24"/>
    <n v="0"/>
    <x v="0"/>
    <m/>
  </r>
  <r>
    <d v="2026-06-19T00:00:00"/>
    <s v="COPOWER"/>
    <s v="VONU"/>
    <x v="10"/>
    <n v="24"/>
    <n v="0"/>
    <n v="9597"/>
    <n v="0"/>
    <n v="0"/>
    <n v="0"/>
    <n v="24"/>
    <n v="0"/>
    <x v="0"/>
    <m/>
  </r>
  <r>
    <d v="2026-06-19T00:00:00"/>
    <s v="COPOWER"/>
    <s v="VONU"/>
    <x v="11"/>
    <n v="24"/>
    <n v="0"/>
    <n v="9219"/>
    <n v="0"/>
    <n v="0"/>
    <n v="0"/>
    <n v="24"/>
    <n v="0"/>
    <x v="0"/>
    <m/>
  </r>
  <r>
    <d v="2026-06-19T00:00:00"/>
    <s v="COPOWER"/>
    <s v="COSTAYACO"/>
    <x v="12"/>
    <n v="19"/>
    <n v="5"/>
    <n v="7221"/>
    <n v="0"/>
    <n v="0"/>
    <n v="0"/>
    <n v="24"/>
    <n v="0"/>
    <x v="0"/>
    <s v="19:50 pm estanby para recuperar presion de gas CYC  solicitud de operador de CCM"/>
  </r>
  <r>
    <d v="2026-06-19T00:00:00"/>
    <s v="COPOWER"/>
    <s v="COSTAYACO"/>
    <x v="13"/>
    <n v="14"/>
    <n v="10"/>
    <n v="5268"/>
    <n v="0"/>
    <n v="0"/>
    <n v="0"/>
    <n v="24"/>
    <n v="0"/>
    <x v="0"/>
    <s v="10:00 ingresa en linea a peticion de CCM en reparto de carga "/>
  </r>
  <r>
    <d v="2026-06-19T00:00:00"/>
    <s v="COPOWER"/>
    <s v="COSTAYACO"/>
    <x v="14"/>
    <n v="24"/>
    <n v="0"/>
    <n v="8647"/>
    <n v="0"/>
    <n v="0"/>
    <n v="0"/>
    <n v="24"/>
    <n v="0"/>
    <x v="0"/>
    <m/>
  </r>
  <r>
    <d v="2026-06-20T00:00:00"/>
    <s v="COPOWER"/>
    <s v="COSTAYACO"/>
    <x v="0"/>
    <n v="24"/>
    <n v="0"/>
    <n v="15333"/>
    <n v="0"/>
    <n v="0"/>
    <n v="0"/>
    <n v="24"/>
    <n v="0"/>
    <x v="0"/>
    <m/>
  </r>
  <r>
    <d v="2026-06-20T00:00:00"/>
    <s v="COPOWER"/>
    <s v="COSTAYACO"/>
    <x v="1"/>
    <n v="24"/>
    <n v="0"/>
    <n v="15239"/>
    <n v="0"/>
    <n v="0"/>
    <n v="0"/>
    <n v="24"/>
    <n v="0"/>
    <x v="0"/>
    <m/>
  </r>
  <r>
    <d v="2026-06-20T00:00:00"/>
    <s v="COPOWER"/>
    <s v="COSTAYACO"/>
    <x v="2"/>
    <n v="24"/>
    <n v="0"/>
    <n v="15588"/>
    <n v="0"/>
    <n v="0"/>
    <n v="0"/>
    <n v="24"/>
    <n v="0"/>
    <x v="0"/>
    <m/>
  </r>
  <r>
    <d v="2026-06-20T00:00:00"/>
    <s v="COPOWER"/>
    <s v="COSTAYACO"/>
    <x v="3"/>
    <n v="24"/>
    <n v="0"/>
    <n v="19432"/>
    <n v="0"/>
    <n v="0"/>
    <n v="0"/>
    <n v="24"/>
    <n v="0"/>
    <x v="0"/>
    <m/>
  </r>
  <r>
    <d v="2026-06-20T00:00:00"/>
    <s v="COPOWER"/>
    <s v="COSTAYACO"/>
    <x v="4"/>
    <n v="24"/>
    <n v="0"/>
    <n v="19481"/>
    <n v="0"/>
    <n v="0"/>
    <n v="0"/>
    <n v="24"/>
    <n v="0"/>
    <x v="0"/>
    <m/>
  </r>
  <r>
    <d v="2026-06-20T00:00:00"/>
    <s v="COPOWER"/>
    <s v="COSTAYACO"/>
    <x v="5"/>
    <n v="24"/>
    <n v="0"/>
    <n v="19085"/>
    <n v="0"/>
    <n v="0"/>
    <n v="0"/>
    <n v="24"/>
    <n v="0"/>
    <x v="0"/>
    <m/>
  </r>
  <r>
    <d v="2026-06-20T00:00:00"/>
    <s v="COPOWER"/>
    <s v="COSTAYACO"/>
    <x v="6"/>
    <n v="24"/>
    <n v="0"/>
    <n v="15824"/>
    <n v="0"/>
    <n v="0"/>
    <n v="0"/>
    <n v="24"/>
    <n v="0"/>
    <x v="0"/>
    <m/>
  </r>
  <r>
    <d v="2026-06-20T00:00:00"/>
    <s v="COPOWER"/>
    <s v="COSTAYACO"/>
    <x v="7"/>
    <n v="0"/>
    <n v="24"/>
    <n v="0"/>
    <n v="0"/>
    <n v="0"/>
    <n v="0"/>
    <n v="24"/>
    <n v="0"/>
    <x v="0"/>
    <m/>
  </r>
  <r>
    <d v="2026-06-20T00:00:00"/>
    <s v="COPOWER"/>
    <s v="COSTAYACO"/>
    <x v="8"/>
    <n v="0"/>
    <n v="24"/>
    <n v="0"/>
    <n v="0"/>
    <n v="0"/>
    <n v="0"/>
    <n v="24"/>
    <n v="0"/>
    <x v="0"/>
    <m/>
  </r>
  <r>
    <d v="2026-06-20T00:00:00"/>
    <s v="COPOWER"/>
    <s v="COSTAYACO"/>
    <x v="9"/>
    <n v="0"/>
    <n v="24"/>
    <n v="0"/>
    <n v="0"/>
    <n v="0"/>
    <n v="0"/>
    <n v="24"/>
    <n v="0"/>
    <x v="0"/>
    <m/>
  </r>
  <r>
    <d v="2026-06-20T00:00:00"/>
    <s v="COPOWER"/>
    <s v="VONU"/>
    <x v="10"/>
    <n v="24"/>
    <n v="0"/>
    <n v="9286"/>
    <n v="0"/>
    <n v="0"/>
    <n v="0"/>
    <n v="24"/>
    <n v="0"/>
    <x v="0"/>
    <m/>
  </r>
  <r>
    <d v="2026-06-20T00:00:00"/>
    <s v="COPOWER"/>
    <s v="VONU"/>
    <x v="11"/>
    <n v="24"/>
    <n v="0"/>
    <n v="9759"/>
    <n v="0"/>
    <n v="0"/>
    <n v="0"/>
    <n v="24"/>
    <n v="0"/>
    <x v="0"/>
    <m/>
  </r>
  <r>
    <d v="2026-06-20T00:00:00"/>
    <s v="COPOWER"/>
    <s v="COSTAYACO"/>
    <x v="12"/>
    <n v="20"/>
    <n v="4"/>
    <n v="7165"/>
    <n v="0"/>
    <n v="0"/>
    <n v="0"/>
    <n v="24"/>
    <n v="0"/>
    <x v="0"/>
    <s v="Sale de linea para recuperar presion de gas CYC  por fuertes lluvias "/>
  </r>
  <r>
    <d v="2026-06-20T00:00:00"/>
    <s v="COPOWER"/>
    <s v="COSTAYACO"/>
    <x v="13"/>
    <n v="3"/>
    <n v="21"/>
    <n v="1310"/>
    <n v="0"/>
    <n v="0"/>
    <n v="0"/>
    <n v="24"/>
    <n v="0"/>
    <x v="0"/>
    <s v="Sale de linea para recuperar presion de gas CYC  por fuertes lluvias "/>
  </r>
  <r>
    <d v="2026-06-20T00:00:00"/>
    <s v="COPOWER"/>
    <s v="COSTAYACO"/>
    <x v="14"/>
    <n v="22"/>
    <n v="2"/>
    <n v="8025"/>
    <n v="0"/>
    <n v="0"/>
    <n v="0"/>
    <n v="24"/>
    <n v="0"/>
    <x v="0"/>
    <s v="Sale de linea para recuperar presion de gas CYC  por fuertes lluvias "/>
  </r>
  <r>
    <d v="2026-06-21T00:00:00"/>
    <s v="COPOWER"/>
    <s v="COSTAYACO"/>
    <x v="0"/>
    <n v="24"/>
    <n v="0"/>
    <n v="15.378"/>
    <n v="0"/>
    <n v="0"/>
    <n v="0"/>
    <n v="24"/>
    <n v="0"/>
    <x v="0"/>
    <m/>
  </r>
  <r>
    <d v="2026-06-21T00:00:00"/>
    <s v="COPOWER"/>
    <s v="COSTAYACO"/>
    <x v="1"/>
    <n v="24"/>
    <n v="0"/>
    <n v="13.269"/>
    <n v="0"/>
    <n v="0"/>
    <n v="0"/>
    <n v="24"/>
    <n v="0"/>
    <x v="0"/>
    <m/>
  </r>
  <r>
    <d v="2026-06-21T00:00:00"/>
    <s v="COPOWER"/>
    <s v="COSTAYACO"/>
    <x v="2"/>
    <n v="24"/>
    <n v="0"/>
    <n v="11.662000000000001"/>
    <n v="0"/>
    <n v="0"/>
    <n v="0"/>
    <n v="24"/>
    <n v="0"/>
    <x v="0"/>
    <m/>
  </r>
  <r>
    <d v="2026-06-21T00:00:00"/>
    <s v="COPOWER"/>
    <s v="COSTAYACO"/>
    <x v="3"/>
    <n v="24"/>
    <n v="0"/>
    <n v="3.149"/>
    <n v="0"/>
    <n v="0"/>
    <n v="0"/>
    <n v="24"/>
    <n v="0"/>
    <x v="0"/>
    <m/>
  </r>
  <r>
    <d v="2026-06-21T00:00:00"/>
    <s v="COPOWER"/>
    <s v="COSTAYACO"/>
    <x v="4"/>
    <n v="24"/>
    <n v="0"/>
    <n v="3.181"/>
    <n v="0"/>
    <n v="0"/>
    <n v="0"/>
    <n v="24"/>
    <n v="0"/>
    <x v="0"/>
    <m/>
  </r>
  <r>
    <d v="2026-06-21T00:00:00"/>
    <s v="COPOWER"/>
    <s v="COSTAYACO"/>
    <x v="5"/>
    <n v="24"/>
    <n v="0"/>
    <n v="1.607"/>
    <n v="0"/>
    <n v="0"/>
    <n v="0"/>
    <n v="24"/>
    <n v="0"/>
    <x v="0"/>
    <m/>
  </r>
  <r>
    <d v="2026-06-21T00:00:00"/>
    <s v="COPOWER"/>
    <s v="COSTAYACO"/>
    <x v="6"/>
    <n v="24"/>
    <n v="0"/>
    <n v="489"/>
    <n v="0"/>
    <n v="0"/>
    <n v="0"/>
    <n v="24"/>
    <n v="0"/>
    <x v="0"/>
    <m/>
  </r>
  <r>
    <d v="2026-06-21T00:00:00"/>
    <s v="COPOWER"/>
    <s v="COSTAYACO"/>
    <x v="7"/>
    <n v="0"/>
    <n v="24"/>
    <n v="0"/>
    <n v="0"/>
    <n v="0"/>
    <n v="0"/>
    <n v="24"/>
    <n v="0"/>
    <x v="0"/>
    <m/>
  </r>
  <r>
    <d v="2026-06-21T00:00:00"/>
    <s v="COPOWER"/>
    <s v="COSTAYACO"/>
    <x v="8"/>
    <n v="0"/>
    <n v="24"/>
    <n v="0"/>
    <n v="0"/>
    <n v="0"/>
    <n v="0"/>
    <n v="24"/>
    <n v="0"/>
    <x v="0"/>
    <m/>
  </r>
  <r>
    <d v="2026-06-21T00:00:00"/>
    <s v="COPOWER"/>
    <s v="COSTAYACO"/>
    <x v="9"/>
    <n v="0"/>
    <n v="24"/>
    <n v="0"/>
    <n v="0"/>
    <n v="0"/>
    <n v="0"/>
    <n v="24"/>
    <n v="0"/>
    <x v="0"/>
    <m/>
  </r>
  <r>
    <d v="2026-06-21T00:00:00"/>
    <s v="COPOWER"/>
    <s v="VONU"/>
    <x v="10"/>
    <n v="24"/>
    <n v="0"/>
    <n v="9227"/>
    <n v="0"/>
    <n v="0"/>
    <n v="0"/>
    <n v="24"/>
    <n v="0"/>
    <x v="0"/>
    <m/>
  </r>
  <r>
    <d v="2026-06-21T00:00:00"/>
    <s v="COPOWER"/>
    <s v="VONU"/>
    <x v="11"/>
    <n v="24"/>
    <n v="0"/>
    <n v="9820"/>
    <n v="0"/>
    <n v="0"/>
    <n v="0"/>
    <n v="24"/>
    <n v="0"/>
    <x v="0"/>
    <m/>
  </r>
  <r>
    <d v="2026-06-21T00:00:00"/>
    <s v="COPOWER"/>
    <s v="COSTAYACO"/>
    <x v="12"/>
    <n v="22"/>
    <n v="2"/>
    <n v="8339"/>
    <n v="0"/>
    <n v="0"/>
    <n v="0"/>
    <n v="24"/>
    <n v="0"/>
    <x v="0"/>
    <s v="Sale de linea para recuperar presion de gas CYC  por fuertes lluvias  13 PSI Y FUERTES LLUVIAS "/>
  </r>
  <r>
    <d v="2026-06-21T00:00:00"/>
    <s v="COPOWER"/>
    <s v="COSTAYACO"/>
    <x v="13"/>
    <n v="2"/>
    <n v="22"/>
    <n v="730"/>
    <n v="0"/>
    <n v="0"/>
    <n v="0"/>
    <n v="24"/>
    <n v="0"/>
    <x v="0"/>
    <s v="Sale de linea para recuperar presion de gas CYC  "/>
  </r>
  <r>
    <d v="2026-06-21T00:00:00"/>
    <s v="COPOWER"/>
    <s v="COSTAYACO"/>
    <x v="14"/>
    <n v="16"/>
    <n v="8"/>
    <n v="6294"/>
    <n v="0"/>
    <n v="0"/>
    <n v="0"/>
    <n v="24"/>
    <n v="0"/>
    <x v="0"/>
    <s v="Sale de linea para recuperar presion de gas CYC  por fuertes lluvias  13 PSI Y FUERTES LLUVIAS "/>
  </r>
  <r>
    <d v="2026-06-22T00:00:00"/>
    <s v="COPOWER"/>
    <s v="COSTAYACO"/>
    <x v="0"/>
    <n v="24"/>
    <n v="0"/>
    <n v="15661"/>
    <n v="0"/>
    <n v="0"/>
    <n v="0"/>
    <n v="24"/>
    <n v="0"/>
    <x v="0"/>
    <m/>
  </r>
  <r>
    <d v="2026-06-22T00:00:00"/>
    <s v="COPOWER"/>
    <s v="COSTAYACO"/>
    <x v="1"/>
    <n v="24"/>
    <n v="0"/>
    <n v="15401"/>
    <n v="0"/>
    <n v="0"/>
    <n v="0"/>
    <n v="24"/>
    <n v="0"/>
    <x v="0"/>
    <m/>
  </r>
  <r>
    <d v="2026-06-22T00:00:00"/>
    <s v="COPOWER"/>
    <s v="COSTAYACO"/>
    <x v="2"/>
    <n v="24"/>
    <n v="0"/>
    <n v="15641"/>
    <n v="0"/>
    <n v="0"/>
    <n v="0"/>
    <n v="24"/>
    <n v="0"/>
    <x v="0"/>
    <m/>
  </r>
  <r>
    <d v="2026-06-22T00:00:00"/>
    <s v="COPOWER"/>
    <s v="COSTAYACO"/>
    <x v="3"/>
    <n v="24"/>
    <n v="0"/>
    <n v="19414"/>
    <n v="0"/>
    <n v="0"/>
    <n v="0"/>
    <n v="24"/>
    <n v="0"/>
    <x v="0"/>
    <m/>
  </r>
  <r>
    <d v="2026-06-22T00:00:00"/>
    <s v="COPOWER"/>
    <s v="COSTAYACO"/>
    <x v="4"/>
    <n v="17"/>
    <n v="0"/>
    <n v="14024"/>
    <n v="7"/>
    <n v="0"/>
    <n v="0"/>
    <n v="24"/>
    <n v="0"/>
    <x v="0"/>
    <s v="7 horas de mantenimiento preventivo programado M1."/>
  </r>
  <r>
    <d v="2026-06-22T00:00:00"/>
    <s v="COPOWER"/>
    <s v="COSTAYACO"/>
    <x v="5"/>
    <n v="24"/>
    <n v="0"/>
    <n v="20538"/>
    <n v="0"/>
    <n v="0"/>
    <n v="0"/>
    <n v="24"/>
    <n v="0"/>
    <x v="0"/>
    <m/>
  </r>
  <r>
    <d v="2026-06-22T00:00:00"/>
    <s v="COPOWER"/>
    <s v="COSTAYACO"/>
    <x v="6"/>
    <n v="24"/>
    <n v="0"/>
    <n v="15011"/>
    <n v="0"/>
    <n v="0"/>
    <n v="0"/>
    <n v="24"/>
    <n v="0"/>
    <x v="0"/>
    <m/>
  </r>
  <r>
    <d v="2026-06-22T00:00:00"/>
    <s v="COPOWER"/>
    <s v="COSTAYACO"/>
    <x v="7"/>
    <n v="0"/>
    <n v="24"/>
    <n v="280"/>
    <n v="0"/>
    <n v="0"/>
    <n v="0"/>
    <n v="24"/>
    <n v="0"/>
    <x v="0"/>
    <m/>
  </r>
  <r>
    <d v="2026-06-22T00:00:00"/>
    <s v="COPOWER"/>
    <s v="COSTAYACO"/>
    <x v="8"/>
    <n v="1"/>
    <n v="23"/>
    <n v="745"/>
    <n v="0"/>
    <n v="0"/>
    <n v="0"/>
    <n v="24"/>
    <n v="0"/>
    <x v="0"/>
    <s v="Ingresa en linea en respaldo a baja presion de gas CyC"/>
  </r>
  <r>
    <d v="2026-06-22T00:00:00"/>
    <s v="COPOWER"/>
    <s v="COSTAYACO"/>
    <x v="9"/>
    <n v="1"/>
    <n v="23"/>
    <n v="663"/>
    <n v="0"/>
    <n v="0"/>
    <n v="0"/>
    <n v="24"/>
    <n v="0"/>
    <x v="0"/>
    <s v="Ingresa en linea en respaldo a baja presion de gas CyC"/>
  </r>
  <r>
    <d v="2026-06-22T00:00:00"/>
    <s v="COPOWER"/>
    <s v="VONU"/>
    <x v="10"/>
    <n v="24"/>
    <n v="0"/>
    <n v="9606"/>
    <n v="0"/>
    <n v="0"/>
    <n v="0"/>
    <n v="24"/>
    <n v="0"/>
    <x v="0"/>
    <m/>
  </r>
  <r>
    <d v="2026-06-22T00:00:00"/>
    <s v="COPOWER"/>
    <s v="VONU"/>
    <x v="11"/>
    <n v="24"/>
    <n v="0"/>
    <n v="9603"/>
    <n v="0"/>
    <n v="0"/>
    <n v="0"/>
    <n v="24"/>
    <n v="0"/>
    <x v="0"/>
    <m/>
  </r>
  <r>
    <d v="2026-06-22T00:00:00"/>
    <s v="COPOWER"/>
    <s v="COSTAYACO"/>
    <x v="12"/>
    <n v="19"/>
    <n v="5"/>
    <n v="6894"/>
    <n v="0"/>
    <n v="0"/>
    <n v="0"/>
    <n v="24"/>
    <n v="0"/>
    <x v="0"/>
    <s v="Fuera de linea para recuperar presion de gas cyc"/>
  </r>
  <r>
    <d v="2026-06-22T00:00:00"/>
    <s v="COPOWER"/>
    <s v="COSTAYACO"/>
    <x v="13"/>
    <n v="6"/>
    <n v="18"/>
    <n v="1805"/>
    <n v="0"/>
    <n v="0"/>
    <n v="0"/>
    <n v="24"/>
    <n v="0"/>
    <x v="0"/>
    <s v="Fuera de linea para recuperar presion de gas cyc"/>
  </r>
  <r>
    <d v="2026-06-22T00:00:00"/>
    <s v="COPOWER"/>
    <s v="COSTAYACO"/>
    <x v="14"/>
    <n v="17"/>
    <n v="7"/>
    <n v="6159"/>
    <n v="0"/>
    <n v="0"/>
    <n v="0"/>
    <n v="24"/>
    <n v="0"/>
    <x v="0"/>
    <m/>
  </r>
  <r>
    <d v="2026-06-23T00:00:00"/>
    <s v="COPOWER"/>
    <s v="COSTAYACO"/>
    <x v="0"/>
    <n v="6"/>
    <n v="18"/>
    <n v="3356"/>
    <n v="0"/>
    <n v="0"/>
    <n v="0"/>
    <n v="24"/>
    <n v="0"/>
    <x v="0"/>
    <s v="standby por mantenimiento semanal de MRU 18 horas"/>
  </r>
  <r>
    <d v="2026-06-23T00:00:00"/>
    <s v="COPOWER"/>
    <s v="COSTAYACO"/>
    <x v="1"/>
    <n v="9"/>
    <n v="15"/>
    <n v="4347"/>
    <n v="0"/>
    <n v="0"/>
    <n v="0"/>
    <n v="24"/>
    <n v="0"/>
    <x v="0"/>
    <m/>
  </r>
  <r>
    <d v="2026-06-23T00:00:00"/>
    <s v="COPOWER"/>
    <s v="COSTAYACO"/>
    <x v="2"/>
    <n v="6"/>
    <n v="18"/>
    <n v="3732"/>
    <n v="0"/>
    <n v="0"/>
    <n v="0"/>
    <n v="24"/>
    <n v="0"/>
    <x v="0"/>
    <m/>
  </r>
  <r>
    <d v="2026-06-23T00:00:00"/>
    <s v="COPOWER"/>
    <s v="COSTAYACO"/>
    <x v="3"/>
    <n v="23"/>
    <n v="0"/>
    <n v="17284"/>
    <n v="0"/>
    <n v="0"/>
    <n v="1"/>
    <n v="24"/>
    <n v="1"/>
    <x v="1"/>
    <s v="se presentan dos salidas en las cuales se abre el totalizador principal de tablero de auxiliares 480V-Pendiente verificar reprote de configuración de protecciónes"/>
  </r>
  <r>
    <d v="2026-06-23T00:00:00"/>
    <s v="COPOWER"/>
    <s v="COSTAYACO"/>
    <x v="4"/>
    <n v="22"/>
    <n v="0"/>
    <n v="17286"/>
    <n v="0"/>
    <n v="0"/>
    <n v="2"/>
    <n v="24"/>
    <n v="1"/>
    <x v="1"/>
    <s v="se presentan dos salidas en las cuales se abre el totalizador principal de tablero de auxiliares 480V-Pendiente verificar reprote de configuración de protecciónes"/>
  </r>
  <r>
    <d v="2026-06-23T00:00:00"/>
    <s v="COPOWER"/>
    <s v="COSTAYACO"/>
    <x v="5"/>
    <n v="24"/>
    <n v="0"/>
    <n v="19537"/>
    <n v="0"/>
    <n v="0"/>
    <n v="0"/>
    <n v="24"/>
    <n v="0"/>
    <x v="0"/>
    <m/>
  </r>
  <r>
    <d v="2026-06-23T00:00:00"/>
    <s v="COPOWER"/>
    <s v="COSTAYACO"/>
    <x v="6"/>
    <n v="6"/>
    <n v="18"/>
    <n v="3239"/>
    <n v="0"/>
    <n v="0"/>
    <n v="0"/>
    <n v="24"/>
    <n v="0"/>
    <x v="0"/>
    <s v="standby por mantenimiento semanal de MRU 18 horas"/>
  </r>
  <r>
    <d v="2026-06-23T00:00:00"/>
    <s v="COPOWER"/>
    <s v="COSTAYACO"/>
    <x v="7"/>
    <n v="0"/>
    <n v="24"/>
    <n v="0"/>
    <n v="0"/>
    <n v="0"/>
    <n v="0"/>
    <n v="24"/>
    <n v="0"/>
    <x v="0"/>
    <m/>
  </r>
  <r>
    <d v="2026-06-23T00:00:00"/>
    <s v="COPOWER"/>
    <s v="COSTAYACO"/>
    <x v="8"/>
    <n v="6"/>
    <n v="18"/>
    <n v="4014"/>
    <n v="0"/>
    <n v="0"/>
    <n v="0"/>
    <n v="24"/>
    <n v="0"/>
    <x v="0"/>
    <m/>
  </r>
  <r>
    <d v="2026-06-23T00:00:00"/>
    <s v="COPOWER"/>
    <s v="COSTAYACO"/>
    <x v="9"/>
    <n v="12"/>
    <n v="12"/>
    <n v="8208"/>
    <n v="0"/>
    <n v="0"/>
    <n v="0"/>
    <n v="24"/>
    <n v="0"/>
    <x v="0"/>
    <m/>
  </r>
  <r>
    <d v="2026-06-23T00:00:00"/>
    <s v="COPOWER"/>
    <s v="VONU"/>
    <x v="10"/>
    <n v="24"/>
    <n v="0"/>
    <n v="9488"/>
    <n v="0"/>
    <n v="0"/>
    <n v="0"/>
    <n v="24"/>
    <n v="0"/>
    <x v="0"/>
    <m/>
  </r>
  <r>
    <d v="2026-06-23T00:00:00"/>
    <s v="COPOWER"/>
    <s v="VONU"/>
    <x v="11"/>
    <n v="20"/>
    <n v="0"/>
    <n v="7810"/>
    <n v="0"/>
    <n v="0"/>
    <n v="4"/>
    <n v="24"/>
    <n v="0"/>
    <x v="0"/>
    <s v="8:10 pm  4 horas en stanby por daño en tuberia de cyc 19 inicia nuevamente a las 11:52 pm"/>
  </r>
  <r>
    <d v="2026-06-23T00:00:00"/>
    <s v="COPOWER"/>
    <s v="COSTAYACO"/>
    <x v="12"/>
    <n v="19"/>
    <n v="5"/>
    <n v="4865"/>
    <n v="0"/>
    <n v="0"/>
    <n v="0"/>
    <n v="24"/>
    <n v="0"/>
    <x v="0"/>
    <s v="Fuera de linea para recuperar presion de gas cyc"/>
  </r>
  <r>
    <d v="2026-06-23T00:00:00"/>
    <s v="COPOWER"/>
    <s v="COSTAYACO"/>
    <x v="13"/>
    <n v="16"/>
    <n v="8"/>
    <n v="5991"/>
    <n v="0"/>
    <n v="0"/>
    <n v="0"/>
    <n v="24"/>
    <n v="0"/>
    <x v="0"/>
    <s v="Fuera de linea para recuperar presion de gas cyc"/>
  </r>
  <r>
    <d v="2026-06-23T00:00:00"/>
    <s v="COPOWER"/>
    <s v="COSTAYACO"/>
    <x v="14"/>
    <n v="11"/>
    <n v="13"/>
    <n v="3808"/>
    <n v="0"/>
    <n v="0"/>
    <n v="0"/>
    <n v="24"/>
    <n v="0"/>
    <x v="0"/>
    <s v="Fuera de linea para recuperar presion de gas cyc"/>
  </r>
  <r>
    <d v="2026-06-24T00:00:00"/>
    <s v="COPOWER"/>
    <s v="COSTAYACO"/>
    <x v="0"/>
    <n v="18"/>
    <n v="0"/>
    <n v="11854"/>
    <n v="0"/>
    <n v="0"/>
    <n v="6"/>
    <n v="24"/>
    <n v="0"/>
    <x v="0"/>
    <s v="05:13 EEP reporta disparo de reconectador línea 34.5 Kv Jauno - Piamonte, FDL generación CPW. FDL manual sistema inyección para control de cargas,  8:16 hrs equipo cpw01 en coordinación con CCM , sale de línea equipos cpw alineados con gas MRU+CHILLER,  causa corrección fuga de aceite en sistema QUINCY.  10:14  hrs ingresa a linea."/>
  </r>
  <r>
    <d v="2026-06-24T00:00:00"/>
    <s v="COPOWER"/>
    <s v="COSTAYACO"/>
    <x v="1"/>
    <n v="13"/>
    <n v="0"/>
    <n v="8893"/>
    <n v="0"/>
    <n v="0"/>
    <n v="11"/>
    <n v="24"/>
    <n v="0"/>
    <x v="0"/>
    <s v="05:13 EEP reporta disparo de reconectador línea 34.5 Kv Jauno - Piamonte, FDL generación CPW. FDL manual sistema inyección para control de cargas,  8:11 hrs equipo cpw02 en coordinación con CCM , sale de línea equipos cpw alineados con gas MRU+CHILLER,  causa corrección fuga de aceite en sistema QUINCY. 10:15  hrs ingresa a linea.  16:05 hr sale de linea equipo cpw02 por baja presion gas mru"/>
  </r>
  <r>
    <d v="2026-06-24T00:00:00"/>
    <s v="COPOWER"/>
    <s v="COSTAYACO"/>
    <x v="2"/>
    <n v="18"/>
    <n v="0"/>
    <n v="11674"/>
    <n v="0"/>
    <n v="0"/>
    <n v="6"/>
    <n v="24"/>
    <n v="0"/>
    <x v="0"/>
    <s v="05:13 EEP reporta disparo de reconectador línea 34.5 Kv Jauno - Piamonte, FDL generación CPW. FDL manual sistema inyección para control de cargas,  8:16 hrs equipo cpw01 en coordinación con CCM , sale de línea equipos cpw alineados con gas MRU+CHILLER,  causa corrección fuga de aceite en sistema QUINCY.  10:14  hrs ingresa a linea."/>
  </r>
  <r>
    <d v="2026-06-24T00:00:00"/>
    <s v="COPOWER"/>
    <s v="COSTAYACO"/>
    <x v="3"/>
    <n v="23"/>
    <n v="0"/>
    <n v="17061"/>
    <n v="0"/>
    <n v="0"/>
    <n v="1"/>
    <n v="24"/>
    <n v="0"/>
    <x v="0"/>
    <s v="05:13 EEP reporta disparo de reconectador línea 34.5 Kv Jauno - Piamonte, FDL generación CPW. FDL manual sistema inyección para control de cargas"/>
  </r>
  <r>
    <d v="2026-06-24T00:00:00"/>
    <s v="COPOWER"/>
    <s v="COSTAYACO"/>
    <x v="4"/>
    <n v="24"/>
    <n v="0"/>
    <n v="19249"/>
    <n v="0"/>
    <n v="0"/>
    <n v="0"/>
    <n v="24"/>
    <n v="0"/>
    <x v="0"/>
    <m/>
  </r>
  <r>
    <d v="2026-06-24T00:00:00"/>
    <s v="COPOWER"/>
    <s v="COSTAYACO"/>
    <x v="5"/>
    <n v="23"/>
    <n v="0"/>
    <n v="17939"/>
    <n v="0"/>
    <n v="0"/>
    <n v="1"/>
    <n v="24"/>
    <n v="0"/>
    <x v="0"/>
    <s v="05:13 EEP reporta disparo de reconectador línea 34.5 Kv Jauno - Piamonte, FDL generación CPW. FDL manual sistema inyección para control de cargas"/>
  </r>
  <r>
    <d v="2026-06-24T00:00:00"/>
    <s v="COPOWER"/>
    <s v="COSTAYACO"/>
    <x v="6"/>
    <n v="18"/>
    <n v="0"/>
    <n v="10881"/>
    <n v="0"/>
    <n v="0"/>
    <n v="6"/>
    <n v="24"/>
    <n v="0"/>
    <x v="0"/>
    <s v="8:19 hrs equipo cpw07 en coordinación con CCM , sale de línea equipos cpw alineados con gas MRU+CHILLER,  causa corrección fuga de aceite en sistema QUINCY.  10:13  hrs ingresa a linea."/>
  </r>
  <r>
    <d v="2026-06-24T00:00:00"/>
    <s v="COPOWER"/>
    <s v="COSTAYACO"/>
    <x v="7"/>
    <n v="2"/>
    <n v="22"/>
    <n v="780"/>
    <n v="0"/>
    <n v="0"/>
    <n v="0"/>
    <n v="24"/>
    <n v="0"/>
    <x v="0"/>
    <s v="7:58 hrs equipo G101V en coordinación con CCM , ingresa en línea por maniobra MRU.  10:17  hrs sale de  linea."/>
  </r>
  <r>
    <d v="2026-06-24T00:00:00"/>
    <s v="COPOWER"/>
    <s v="COSTAYACO"/>
    <x v="8"/>
    <n v="3"/>
    <n v="21"/>
    <n v="1791"/>
    <n v="0"/>
    <n v="0"/>
    <n v="0"/>
    <n v="24"/>
    <n v="0"/>
    <x v="0"/>
    <s v="7:58 hrs equipo G102J en coordinación con CCM , ingresa en línea por maniobra MRU.  10:18  hrs sale de  linea."/>
  </r>
  <r>
    <d v="2026-06-24T00:00:00"/>
    <s v="COPOWER"/>
    <s v="COSTAYACO"/>
    <x v="9"/>
    <n v="2"/>
    <n v="22"/>
    <n v="319"/>
    <n v="0"/>
    <n v="0"/>
    <n v="0"/>
    <n v="24"/>
    <n v="0"/>
    <x v="0"/>
    <s v="8:01 hrs equipo G102k en coordinación con CCM , ingresa en línea por maniobra MRU.  08:30  hrs sale de  linea."/>
  </r>
  <r>
    <d v="2026-06-24T00:00:00"/>
    <s v="COPOWER"/>
    <s v="VONU"/>
    <x v="10"/>
    <n v="24"/>
    <n v="0"/>
    <n v="9314"/>
    <n v="0"/>
    <n v="0"/>
    <n v="0"/>
    <n v="24"/>
    <n v="0"/>
    <x v="0"/>
    <m/>
  </r>
  <r>
    <d v="2026-06-24T00:00:00"/>
    <s v="COPOWER"/>
    <s v="VONU"/>
    <x v="11"/>
    <n v="18"/>
    <n v="0"/>
    <n v="7629"/>
    <n v="0"/>
    <n v="0"/>
    <n v="6"/>
    <n v="24"/>
    <n v="0"/>
    <x v="0"/>
    <s v="10:43 hrs equipo jinan 2  en coordinación con CCM sale de línea equipo Jinan 02 por mantenimiento cyc 19.  16:20 hr equipo ingresa a linea "/>
  </r>
  <r>
    <d v="2026-06-24T00:00:00"/>
    <s v="COPOWER"/>
    <s v="COSTAYACO"/>
    <x v="12"/>
    <n v="19"/>
    <n v="1"/>
    <n v="6825"/>
    <n v="4"/>
    <n v="0"/>
    <n v="0"/>
    <n v="24"/>
    <n v="0"/>
    <x v="0"/>
    <s v="11:30 hrs equipo cpw010 sale de linea por mantenimiento programado.  15:51 hrs equipo ingresa en linea con gas mru.  Fuera de linea para recuperar presion de gas cyc"/>
  </r>
  <r>
    <d v="2026-06-24T00:00:00"/>
    <s v="COPOWER"/>
    <s v="COSTAYACO"/>
    <x v="13"/>
    <n v="16"/>
    <n v="8"/>
    <n v="5591"/>
    <n v="0"/>
    <n v="0"/>
    <n v="0"/>
    <n v="24"/>
    <n v="0"/>
    <x v="0"/>
    <s v="11:25 hrs equipo cpw011 sale de linea por cambio de gas cyc a MRU. Ingresa a linea 12:08.  Fuera de linea para recuperar presion de gas cyc"/>
  </r>
  <r>
    <d v="2026-06-24T00:00:00"/>
    <s v="COPOWER"/>
    <s v="COSTAYACO"/>
    <x v="14"/>
    <n v="15"/>
    <n v="9"/>
    <n v="5602"/>
    <n v="0"/>
    <n v="0"/>
    <n v="0"/>
    <n v="24"/>
    <n v="0"/>
    <x v="0"/>
    <s v="11:30 hrs equipo cpw012 sale de linea por cambio de gas cyc a MRU. Ingresa a linea 12:21.  Fuera de linea para recuperar presion de gas cyc"/>
  </r>
  <r>
    <d v="2026-06-25T00:00:00"/>
    <s v="COPOWER"/>
    <s v="COSTAYACO"/>
    <x v="0"/>
    <n v="12"/>
    <n v="0"/>
    <n v="7851"/>
    <n v="0"/>
    <n v="0"/>
    <n v="12"/>
    <n v="24"/>
    <n v="0"/>
    <x v="0"/>
    <s v="11:30:00 a. m. salen de lienas equipos CPW001,CPW002,CPW003,CPW007,CPW010 y CPW011, por protección parada MRU. Sale MRU de operación por activación de nivel alto en tanque de NGL La producción de NGL es mayor a lo que esta evacuando la bomba blackmer, por lo que el nivel aumenta considerablemente hasta activar el switch de alto nivel."/>
  </r>
  <r>
    <d v="2026-06-25T00:00:00"/>
    <s v="COPOWER"/>
    <s v="COSTAYACO"/>
    <x v="1"/>
    <n v="13"/>
    <n v="0"/>
    <n v="8067"/>
    <n v="0"/>
    <n v="0"/>
    <n v="11"/>
    <n v="24"/>
    <n v="0"/>
    <x v="0"/>
    <s v="11:30:00 a. m. salen de lienas equipos CPW001,CPW002,CPW003,CPW007,CPW010 y CPW011, por protección parada MRU. Sale MRU de operación por activación de nivel alto en tanque de NGL La producción de NGL es mayor a lo que esta evacuando la bomba blackmer, por lo que el nivel aumenta considerablemente hasta activar el switch de alto nivel."/>
  </r>
  <r>
    <d v="2026-06-25T00:00:00"/>
    <s v="COPOWER"/>
    <s v="COSTAYACO"/>
    <x v="2"/>
    <n v="12"/>
    <n v="0"/>
    <n v="8107"/>
    <n v="0"/>
    <n v="0"/>
    <n v="12"/>
    <n v="24"/>
    <n v="0"/>
    <x v="0"/>
    <s v="11:30:00 a. m. salen de lienas equipos CPW001,CPW002,CPW003,CPW007,CPW010 y CPW011, por protección parada MRU. Sale MRU de operación por activación de nivel alto en tanque de NGL La producción de NGL es mayor a lo que esta evacuando la bomba blackmer, por lo que el nivel aumenta considerablemente hasta activar el switch de alto nivel."/>
  </r>
  <r>
    <d v="2026-06-25T00:00:00"/>
    <s v="COPOWER"/>
    <s v="COSTAYACO"/>
    <x v="3"/>
    <n v="24"/>
    <n v="0"/>
    <n v="18363"/>
    <n v="0"/>
    <n v="0"/>
    <n v="0"/>
    <n v="24"/>
    <n v="0"/>
    <x v="0"/>
    <m/>
  </r>
  <r>
    <d v="2026-06-25T00:00:00"/>
    <s v="COPOWER"/>
    <s v="COSTAYACO"/>
    <x v="4"/>
    <n v="24"/>
    <n v="0"/>
    <n v="19057"/>
    <n v="0"/>
    <n v="0"/>
    <n v="0"/>
    <n v="24"/>
    <n v="0"/>
    <x v="0"/>
    <m/>
  </r>
  <r>
    <d v="2026-06-25T00:00:00"/>
    <s v="COPOWER"/>
    <s v="COSTAYACO"/>
    <x v="5"/>
    <n v="24"/>
    <n v="0"/>
    <n v="19687"/>
    <n v="0"/>
    <n v="0"/>
    <n v="0"/>
    <n v="24"/>
    <n v="0"/>
    <x v="0"/>
    <m/>
  </r>
  <r>
    <d v="2026-06-25T00:00:00"/>
    <s v="COPOWER"/>
    <s v="COSTAYACO"/>
    <x v="6"/>
    <n v="12"/>
    <n v="0"/>
    <n v="7422"/>
    <n v="0"/>
    <n v="0"/>
    <n v="12"/>
    <n v="24"/>
    <n v="0"/>
    <x v="0"/>
    <s v="11:30:00 a. m. salen de lienas equipos CPW001,CPW002,CPW003,CPW007,CPW010 y CPW011, por protección parada MRU. Sale MRU de operación por activación de nivel alto en tanque de NGL La producción de NGL es mayor a lo que esta evacuando la bomba blackmer, por lo que el nivel aumenta considerablemente hasta activar el switch de alto nivel."/>
  </r>
  <r>
    <d v="2026-06-25T00:00:00"/>
    <s v="COPOWER"/>
    <s v="COSTAYACO"/>
    <x v="7"/>
    <n v="0"/>
    <n v="24"/>
    <n v="0"/>
    <n v="0"/>
    <n v="0"/>
    <n v="0"/>
    <n v="24"/>
    <n v="0"/>
    <x v="0"/>
    <m/>
  </r>
  <r>
    <d v="2026-06-25T00:00:00"/>
    <s v="COPOWER"/>
    <s v="COSTAYACO"/>
    <x v="8"/>
    <n v="2"/>
    <n v="22"/>
    <n v="1707"/>
    <n v="0"/>
    <n v="0"/>
    <n v="0"/>
    <n v="24"/>
    <n v="0"/>
    <x v="0"/>
    <m/>
  </r>
  <r>
    <d v="2026-06-25T00:00:00"/>
    <s v="COPOWER"/>
    <s v="COSTAYACO"/>
    <x v="9"/>
    <n v="9"/>
    <n v="15"/>
    <n v="7596"/>
    <n v="0"/>
    <n v="0"/>
    <n v="0"/>
    <n v="24"/>
    <n v="0"/>
    <x v="0"/>
    <m/>
  </r>
  <r>
    <d v="2026-06-25T00:00:00"/>
    <s v="COPOWER"/>
    <s v="VONU"/>
    <x v="10"/>
    <n v="24"/>
    <n v="0"/>
    <n v="9603"/>
    <n v="0"/>
    <n v="0"/>
    <n v="0"/>
    <n v="24"/>
    <n v="0"/>
    <x v="0"/>
    <s v="12:35:00 p. m. hrs ingresa en linea equipo G102J como respaldo por salida de equipos alineados con gas MRU. 14:47:00 hrs Por solicitud de CCM sale de línea equipo Diesel G102J, ingresan en línea equipos CPW010,CPW011, y CPW012."/>
  </r>
  <r>
    <d v="2026-06-25T00:00:00"/>
    <s v="COPOWER"/>
    <s v="VONU"/>
    <x v="11"/>
    <n v="24"/>
    <n v="0"/>
    <n v="8397"/>
    <n v="0"/>
    <n v="0"/>
    <n v="0"/>
    <n v="24"/>
    <n v="0"/>
    <x v="0"/>
    <s v="12:36:00 p. m. hrs ingresa en linea equipo G102K como respaldo por salida de equipos alineados con gas MRU."/>
  </r>
  <r>
    <d v="2026-06-25T00:00:00"/>
    <s v="COPOWER"/>
    <s v="COSTAYACO"/>
    <x v="12"/>
    <n v="18"/>
    <n v="6"/>
    <n v="6875"/>
    <n v="0"/>
    <n v="0"/>
    <n v="0"/>
    <n v="24"/>
    <n v="0"/>
    <x v="0"/>
    <m/>
  </r>
  <r>
    <d v="2026-06-25T00:00:00"/>
    <s v="COPOWER"/>
    <s v="COSTAYACO"/>
    <x v="13"/>
    <n v="16"/>
    <n v="8"/>
    <n v="5881"/>
    <n v="0"/>
    <n v="0"/>
    <n v="0"/>
    <n v="24"/>
    <n v="0"/>
    <x v="0"/>
    <m/>
  </r>
  <r>
    <d v="2026-06-25T00:00:00"/>
    <s v="COPOWER"/>
    <s v="COSTAYACO"/>
    <x v="14"/>
    <n v="8"/>
    <n v="16"/>
    <n v="2728"/>
    <n v="0"/>
    <n v="0"/>
    <n v="0"/>
    <n v="24"/>
    <n v="0"/>
    <x v="0"/>
    <s v="11:30:00 a. m. salen de lienas equipos CPW001,CPW002,CPW003,CPW007,CPW010 y CPW011, por protección parada MRU. Sale MRU de operación por activación de nivel alto en tanque de NGL La producción de NGL es mayor a lo que esta evacuando la bomba blackmer, por lo que el nivel aumenta considerablemente hasta activar el switch de alto nivel."/>
  </r>
  <r>
    <d v="2026-06-26T00:00:00"/>
    <s v="COPOWER"/>
    <s v="COSTAYACO"/>
    <x v="0"/>
    <n v="22"/>
    <n v="0"/>
    <n v="14579"/>
    <n v="0"/>
    <n v="0"/>
    <n v="2"/>
    <n v="24"/>
    <n v="0"/>
    <x v="0"/>
    <s v="01:00 FDL generación a gas CPW 01-02-03-04-05-06-07- Jinan 10 por disparo de C9 y reconectador RX por sobrecorriente. FDL - Parada Externa - Coordinación por parte de GTE"/>
  </r>
  <r>
    <d v="2026-06-26T00:00:00"/>
    <s v="COPOWER"/>
    <s v="COSTAYACO"/>
    <x v="1"/>
    <n v="22"/>
    <n v="0"/>
    <n v="14030"/>
    <n v="0"/>
    <n v="0"/>
    <n v="2"/>
    <n v="24"/>
    <n v="0"/>
    <x v="0"/>
    <s v="01:00 FDL generación a gas CPW 01-02-03-04-05-06-07- Jinan 10 por disparo de C9 y reconectador RX por sobrecorriente. FDL - Parada Externa - Coordinación por parte de GTE"/>
  </r>
  <r>
    <d v="2026-06-26T00:00:00"/>
    <s v="COPOWER"/>
    <s v="COSTAYACO"/>
    <x v="2"/>
    <n v="22"/>
    <n v="0"/>
    <n v="14167"/>
    <n v="0"/>
    <n v="0"/>
    <n v="2"/>
    <n v="24"/>
    <n v="0"/>
    <x v="0"/>
    <s v="01:00 FDL generación a gas CPW 01-02-03-04-05-06-07- Jinan 10 por disparo de C9 y reconectador RX por sobrecorriente. FDL - Parada Externa - Coordinación por parte de GTE"/>
  </r>
  <r>
    <d v="2026-06-26T00:00:00"/>
    <s v="COPOWER"/>
    <s v="COSTAYACO"/>
    <x v="3"/>
    <n v="21"/>
    <n v="0"/>
    <n v="15633"/>
    <n v="0"/>
    <n v="0"/>
    <n v="3"/>
    <n v="24"/>
    <n v="0"/>
    <x v="0"/>
    <s v="01:00 FDL generación a gas CPW 01-02-03-04-05-06-07- Jinan 10 por disparo de C9 y reconectador RX por sobrecorriente. FDL. 13:26:00 p. m. se coordina con CCM se realiza el apagado manual equipos , CPW-04, 05 y 06,  alineados con gas MQT, por maniobra de ingresa Valvula  controladora fhisher. "/>
  </r>
  <r>
    <d v="2026-06-26T00:00:00"/>
    <s v="COPOWER"/>
    <s v="COSTAYACO"/>
    <x v="4"/>
    <n v="21"/>
    <n v="0"/>
    <n v="16382"/>
    <n v="0"/>
    <n v="0"/>
    <n v="3"/>
    <n v="24"/>
    <n v="0"/>
    <x v="0"/>
    <s v="01:00 FDL generación a gas CPW 01-02-03-04-05-06-07- Jinan 10 por disparo de C9 y reconectador RX por sobrecorriente. FDL. 13:26:00 p. m. se coordina con CCM se realiza el apagado manual equipos , CPW-04, 05 y 06,  alineados con gas MQT, por maniobra de ingresa Valvula  controladora fhisher. "/>
  </r>
  <r>
    <d v="2026-06-26T00:00:00"/>
    <s v="COPOWER"/>
    <s v="COSTAYACO"/>
    <x v="5"/>
    <n v="20"/>
    <n v="4"/>
    <n v="15895"/>
    <n v="0"/>
    <n v="0"/>
    <n v="0"/>
    <n v="24"/>
    <n v="0"/>
    <x v="0"/>
    <s v="01:00 FDL generación a gas CPW 01-02-03-04-05-06-07- Jinan 10 por disparo de C9 y reconectador RX por sobrecorriente. FDL. 13:26:00 p. m. se coordina con CCM se realiza el apagado manual equipos , CPW-04, 05 y 06,  alineados con gas MQT, por maniobra de ingresa Valvula  controladora fhisher. "/>
  </r>
  <r>
    <d v="2026-06-26T00:00:00"/>
    <s v="COPOWER"/>
    <s v="COSTAYACO"/>
    <x v="6"/>
    <n v="21"/>
    <n v="3"/>
    <n v="13684"/>
    <n v="0"/>
    <n v="0"/>
    <n v="0"/>
    <n v="24"/>
    <n v="0"/>
    <x v="0"/>
    <s v="01:00 FDL generación a gas CPW 01-02-03-04-05-06-07- Jinan 10 por disparo de C9 y reconectador RX por sobrecorriente. FDL - Parada Externa - Coordinación por parte de GTE"/>
  </r>
  <r>
    <d v="2026-06-26T00:00:00"/>
    <s v="COPOWER"/>
    <s v="COSTAYACO"/>
    <x v="7"/>
    <n v="0"/>
    <n v="24"/>
    <n v="0"/>
    <n v="0"/>
    <n v="0"/>
    <n v="0"/>
    <n v="24"/>
    <n v="0"/>
    <x v="0"/>
    <m/>
  </r>
  <r>
    <d v="2026-06-26T00:00:00"/>
    <s v="COPOWER"/>
    <s v="COSTAYACO"/>
    <x v="8"/>
    <n v="3"/>
    <n v="21"/>
    <n v="1938"/>
    <n v="0"/>
    <n v="0"/>
    <n v="0"/>
    <n v="24"/>
    <n v="0"/>
    <x v="0"/>
    <m/>
  </r>
  <r>
    <d v="2026-06-26T00:00:00"/>
    <s v="COPOWER"/>
    <s v="COSTAYACO"/>
    <x v="9"/>
    <n v="4"/>
    <n v="20"/>
    <n v="2742"/>
    <n v="0"/>
    <n v="0"/>
    <n v="0"/>
    <n v="24"/>
    <n v="0"/>
    <x v="0"/>
    <m/>
  </r>
  <r>
    <d v="2026-06-26T00:00:00"/>
    <s v="COPOWER"/>
    <s v="VONU"/>
    <x v="10"/>
    <n v="24"/>
    <n v="0"/>
    <n v="9603"/>
    <n v="0"/>
    <n v="0"/>
    <n v="0"/>
    <n v="24"/>
    <n v="0"/>
    <x v="0"/>
    <m/>
  </r>
  <r>
    <d v="2026-06-26T00:00:00"/>
    <s v="COPOWER"/>
    <s v="VONU"/>
    <x v="11"/>
    <n v="24"/>
    <n v="0"/>
    <n v="8402"/>
    <n v="0"/>
    <n v="0"/>
    <n v="0"/>
    <n v="24"/>
    <n v="0"/>
    <x v="0"/>
    <m/>
  </r>
  <r>
    <d v="2026-06-26T00:00:00"/>
    <s v="COPOWER"/>
    <s v="COSTAYACO"/>
    <x v="12"/>
    <n v="21"/>
    <n v="3"/>
    <n v="6772"/>
    <n v="0"/>
    <n v="0"/>
    <n v="0"/>
    <n v="24"/>
    <n v="0"/>
    <x v="0"/>
    <m/>
  </r>
  <r>
    <d v="2026-06-26T00:00:00"/>
    <s v="COPOWER"/>
    <s v="COSTAYACO"/>
    <x v="13"/>
    <n v="0"/>
    <n v="24"/>
    <n v="0"/>
    <n v="0"/>
    <n v="0"/>
    <n v="0"/>
    <n v="24"/>
    <n v="0"/>
    <x v="0"/>
    <m/>
  </r>
  <r>
    <d v="2026-06-26T00:00:00"/>
    <s v="COPOWER"/>
    <s v="COSTAYACO"/>
    <x v="14"/>
    <n v="0"/>
    <n v="24"/>
    <n v="0"/>
    <n v="0"/>
    <n v="0"/>
    <n v="0"/>
    <n v="24"/>
    <n v="0"/>
    <x v="0"/>
    <s v="01:00 FDL generación a gas CPW 01-02-03-04-05-06-07- Jinan 10 por disparo de C9 y reconectador RX por sobrecorriente. FDL"/>
  </r>
  <r>
    <d v="2026-06-27T00:00:00"/>
    <s v="COPOWER"/>
    <s v="COSTAYACO"/>
    <x v="0"/>
    <n v="24"/>
    <n v="0"/>
    <n v="15270"/>
    <n v="0"/>
    <n v="0"/>
    <n v="0"/>
    <n v="24"/>
    <n v="0"/>
    <x v="0"/>
    <m/>
  </r>
  <r>
    <d v="2026-06-27T00:00:00"/>
    <s v="COPOWER"/>
    <s v="COSTAYACO"/>
    <x v="1"/>
    <n v="24"/>
    <n v="0"/>
    <n v="15521"/>
    <n v="0"/>
    <n v="0"/>
    <n v="0"/>
    <n v="24"/>
    <n v="0"/>
    <x v="0"/>
    <m/>
  </r>
  <r>
    <d v="2026-06-27T00:00:00"/>
    <s v="COPOWER"/>
    <s v="COSTAYACO"/>
    <x v="2"/>
    <n v="24"/>
    <n v="0"/>
    <n v="15920"/>
    <n v="0"/>
    <n v="0"/>
    <n v="0"/>
    <n v="24"/>
    <n v="0"/>
    <x v="0"/>
    <m/>
  </r>
  <r>
    <d v="2026-06-27T00:00:00"/>
    <s v="COPOWER"/>
    <s v="COSTAYACO"/>
    <x v="3"/>
    <n v="24"/>
    <n v="0"/>
    <n v="18159"/>
    <n v="0"/>
    <n v="0"/>
    <n v="0"/>
    <n v="24"/>
    <n v="0"/>
    <x v="0"/>
    <m/>
  </r>
  <r>
    <d v="2026-06-27T00:00:00"/>
    <s v="COPOWER"/>
    <s v="COSTAYACO"/>
    <x v="4"/>
    <n v="24"/>
    <n v="0"/>
    <n v="18954"/>
    <n v="0"/>
    <n v="0"/>
    <n v="0"/>
    <n v="24"/>
    <n v="0"/>
    <x v="0"/>
    <m/>
  </r>
  <r>
    <d v="2026-06-27T00:00:00"/>
    <s v="COPOWER"/>
    <s v="COSTAYACO"/>
    <x v="5"/>
    <n v="22"/>
    <n v="0"/>
    <n v="19161"/>
    <n v="0"/>
    <n v="2"/>
    <n v="0"/>
    <n v="24"/>
    <n v="1"/>
    <x v="1"/>
    <s v="FDL equipos G56 &amp; 57,  se presenta perturbacion en la red generando elevacion del voltaje y potencia reactiva de los generadores CPW06 &amp; 07, los cuales salen de linea, el voltaje llego a 660 vac entre fases, a su vez la frecuencia cayo a 56 Hz. "/>
  </r>
  <r>
    <d v="2026-06-27T00:00:00"/>
    <s v="COPOWER"/>
    <s v="COSTAYACO"/>
    <x v="6"/>
    <n v="19"/>
    <n v="0"/>
    <n v="10642"/>
    <n v="0"/>
    <n v="5"/>
    <n v="0"/>
    <n v="24"/>
    <n v="1"/>
    <x v="1"/>
    <s v="FDL equipos G56 &amp; 57,  se presenta perturbacion en la red generando elevacion del voltaje y potencia reactiva de los generadores CPW06 &amp; 07, los cuales salen de linea, el voltaje llego a 660 vac entre fases, a su vez la frecuencia cayo a 56 Hz. "/>
  </r>
  <r>
    <d v="2026-06-27T00:00:00"/>
    <s v="COPOWER"/>
    <s v="COSTAYACO"/>
    <x v="7"/>
    <n v="0"/>
    <n v="24"/>
    <n v="0"/>
    <n v="0"/>
    <n v="0"/>
    <n v="0"/>
    <n v="24"/>
    <n v="0"/>
    <x v="0"/>
    <m/>
  </r>
  <r>
    <d v="2026-06-27T00:00:00"/>
    <s v="COPOWER"/>
    <s v="COSTAYACO"/>
    <x v="8"/>
    <n v="0"/>
    <n v="24"/>
    <n v="0"/>
    <n v="0"/>
    <n v="0"/>
    <n v="0"/>
    <n v="24"/>
    <n v="0"/>
    <x v="0"/>
    <m/>
  </r>
  <r>
    <d v="2026-06-27T00:00:00"/>
    <s v="COPOWER"/>
    <s v="COSTAYACO"/>
    <x v="9"/>
    <n v="0"/>
    <n v="24"/>
    <n v="0"/>
    <n v="0"/>
    <n v="0"/>
    <n v="0"/>
    <n v="24"/>
    <n v="0"/>
    <x v="0"/>
    <m/>
  </r>
  <r>
    <d v="2026-06-27T00:00:00"/>
    <s v="COPOWER"/>
    <s v="VONU"/>
    <x v="10"/>
    <n v="24"/>
    <n v="0"/>
    <n v="9599"/>
    <n v="0"/>
    <n v="0"/>
    <n v="0"/>
    <n v="24"/>
    <n v="0"/>
    <x v="0"/>
    <m/>
  </r>
  <r>
    <d v="2026-06-27T00:00:00"/>
    <s v="COPOWER"/>
    <s v="VONU"/>
    <x v="11"/>
    <n v="24"/>
    <n v="0"/>
    <n v="8738"/>
    <n v="0"/>
    <n v="0"/>
    <n v="0"/>
    <n v="24"/>
    <n v="0"/>
    <x v="0"/>
    <m/>
  </r>
  <r>
    <d v="2026-06-27T00:00:00"/>
    <s v="COPOWER"/>
    <s v="COSTAYACO"/>
    <x v="12"/>
    <n v="23"/>
    <n v="1"/>
    <n v="8750"/>
    <n v="0"/>
    <n v="0"/>
    <n v="0"/>
    <n v="24"/>
    <n v="0"/>
    <x v="0"/>
    <s v="Equipo disponible por baja presion de gas Costayaco"/>
  </r>
  <r>
    <d v="2026-06-27T00:00:00"/>
    <s v="COPOWER"/>
    <s v="COSTAYACO"/>
    <x v="13"/>
    <n v="0"/>
    <n v="24"/>
    <n v="0"/>
    <n v="0"/>
    <n v="0"/>
    <n v="0"/>
    <n v="24"/>
    <n v="0"/>
    <x v="0"/>
    <s v="Equipo disponible por baja presion de gas Costayaco"/>
  </r>
  <r>
    <d v="2026-06-27T00:00:00"/>
    <s v="COPOWER"/>
    <s v="COSTAYACO"/>
    <x v="14"/>
    <n v="8"/>
    <n v="16"/>
    <n v="2979"/>
    <n v="0"/>
    <n v="0"/>
    <n v="0"/>
    <n v="24"/>
    <n v="0"/>
    <x v="0"/>
    <s v="Equipo disponible por baja presion de gas Costayaco"/>
  </r>
  <r>
    <d v="2026-06-28T00:00:00"/>
    <s v="COPOWER"/>
    <s v="COSTAYACO"/>
    <x v="0"/>
    <n v="23"/>
    <n v="0"/>
    <n v="15082"/>
    <n v="0"/>
    <n v="0"/>
    <n v="1"/>
    <n v="24"/>
    <n v="0"/>
    <x v="0"/>
    <s v="7:14hr sale de linea equipo cpw01 por salida MRU. 8:28 hr ingresa a linea modo reparto de carga"/>
  </r>
  <r>
    <d v="2026-06-28T00:00:00"/>
    <s v="COPOWER"/>
    <s v="COSTAYACO"/>
    <x v="1"/>
    <n v="23"/>
    <n v="0"/>
    <n v="15072"/>
    <n v="0"/>
    <n v="0"/>
    <n v="1"/>
    <n v="24"/>
    <n v="0"/>
    <x v="0"/>
    <s v="7:14hr sale de linea equipo cpw02 por salida MRU. 8:26 hr ingresa a linea modo reparto de carga"/>
  </r>
  <r>
    <d v="2026-06-28T00:00:00"/>
    <s v="COPOWER"/>
    <s v="COSTAYACO"/>
    <x v="2"/>
    <n v="23"/>
    <n v="0"/>
    <n v="15127"/>
    <n v="0"/>
    <n v="0"/>
    <n v="1"/>
    <n v="24"/>
    <n v="0"/>
    <x v="0"/>
    <s v="7:14hr sale de linea equipo cpw03 por salida MRU. 8:23 hr ingresa a linea modo reparto de carga"/>
  </r>
  <r>
    <d v="2026-06-28T00:00:00"/>
    <s v="COPOWER"/>
    <s v="COSTAYACO"/>
    <x v="3"/>
    <n v="24"/>
    <n v="0"/>
    <n v="18396"/>
    <n v="0"/>
    <n v="0"/>
    <n v="0"/>
    <n v="24"/>
    <n v="0"/>
    <x v="0"/>
    <s v=" "/>
  </r>
  <r>
    <d v="2026-06-28T00:00:00"/>
    <s v="COPOWER"/>
    <s v="COSTAYACO"/>
    <x v="4"/>
    <n v="23"/>
    <n v="0"/>
    <n v="19003"/>
    <n v="0"/>
    <n v="1"/>
    <n v="0"/>
    <n v="24"/>
    <n v="1"/>
    <x v="1"/>
    <s v="7:33hr sale de linea equipo cpw05  por parada manual entra en portencia inversa y falla en la gobernación.  8:09 hr ingresa a linea modo reparto de carga"/>
  </r>
  <r>
    <d v="2026-06-28T00:00:00"/>
    <s v="COPOWER"/>
    <s v="COSTAYACO"/>
    <x v="5"/>
    <n v="23"/>
    <n v="0"/>
    <n v="18761"/>
    <n v="0"/>
    <n v="1"/>
    <n v="0"/>
    <n v="24"/>
    <n v="1"/>
    <x v="1"/>
    <s v="7:31hr sale de linea equipo cpw06  sale de linea por sobrecarga.  7:46 hr ingresa a linea modo reparto de carga"/>
  </r>
  <r>
    <d v="2026-06-28T00:00:00"/>
    <s v="COPOWER"/>
    <s v="COSTAYACO"/>
    <x v="6"/>
    <n v="23"/>
    <n v="0"/>
    <n v="14710"/>
    <n v="0"/>
    <n v="0"/>
    <n v="1"/>
    <n v="24"/>
    <n v="0"/>
    <x v="0"/>
    <s v="7:14hr sale de linea equipo cpw07 por salida MRU. 8:20 hr ingresa a linea modo reparto de carga"/>
  </r>
  <r>
    <d v="2026-06-28T00:00:00"/>
    <s v="COPOWER"/>
    <s v="COSTAYACO"/>
    <x v="7"/>
    <n v="0"/>
    <n v="24"/>
    <n v="0"/>
    <n v="0"/>
    <n v="0"/>
    <n v="0"/>
    <n v="24"/>
    <n v="0"/>
    <x v="0"/>
    <s v=" "/>
  </r>
  <r>
    <d v="2026-06-28T00:00:00"/>
    <s v="COPOWER"/>
    <s v="COSTAYACO"/>
    <x v="8"/>
    <n v="1"/>
    <n v="23"/>
    <n v="925"/>
    <n v="0"/>
    <n v="0"/>
    <n v="0"/>
    <n v="24"/>
    <n v="0"/>
    <x v="0"/>
    <s v="Entran en linea como respaldo, por salida de los equipos de gas asociados a gas tratado. FDL MRU por perturbacion en la red."/>
  </r>
  <r>
    <d v="2026-06-28T00:00:00"/>
    <s v="COPOWER"/>
    <s v="COSTAYACO"/>
    <x v="9"/>
    <n v="1"/>
    <n v="23"/>
    <n v="729"/>
    <n v="0"/>
    <n v="0"/>
    <n v="0"/>
    <n v="24"/>
    <n v="0"/>
    <x v="0"/>
    <s v="Entran en linea como respaldo, por salida de los equipos de gas asociados a gas tratado. FDL MRU por perturbacion en la red."/>
  </r>
  <r>
    <d v="2026-06-28T00:00:00"/>
    <s v="COPOWER"/>
    <s v="VONU"/>
    <x v="10"/>
    <n v="24"/>
    <n v="0"/>
    <n v="9164"/>
    <n v="0"/>
    <n v="0"/>
    <n v="0"/>
    <n v="24"/>
    <n v="0"/>
    <x v="0"/>
    <s v=" "/>
  </r>
  <r>
    <d v="2026-06-28T00:00:00"/>
    <s v="COPOWER"/>
    <s v="VONU"/>
    <x v="11"/>
    <n v="24"/>
    <n v="0"/>
    <n v="8404"/>
    <n v="0"/>
    <n v="0"/>
    <n v="0"/>
    <n v="24"/>
    <n v="0"/>
    <x v="0"/>
    <s v=" "/>
  </r>
  <r>
    <d v="2026-06-28T00:00:00"/>
    <s v="COPOWER"/>
    <s v="COSTAYACO"/>
    <x v="12"/>
    <n v="11"/>
    <n v="13"/>
    <n v="4423"/>
    <n v="0"/>
    <n v="0"/>
    <n v="0"/>
    <n v="24"/>
    <n v="0"/>
    <x v="0"/>
    <s v="11:30hr sale de linea equipo cpw010 a solicitud de ccm por baja presion de gas cyc // Equipo disponible por baja presion de gas Costayaco"/>
  </r>
  <r>
    <d v="2026-06-28T00:00:00"/>
    <s v="COPOWER"/>
    <s v="COSTAYACO"/>
    <x v="13"/>
    <n v="0"/>
    <n v="24"/>
    <n v="0"/>
    <n v="0"/>
    <n v="0"/>
    <n v="0"/>
    <m/>
    <n v="0"/>
    <x v="0"/>
    <s v="Equipo disponible por baja presion de gas Costayaco"/>
  </r>
  <r>
    <d v="2026-06-28T00:00:00"/>
    <s v="COPOWER"/>
    <s v="COSTAYACO"/>
    <x v="14"/>
    <n v="12"/>
    <n v="12"/>
    <n v="4230"/>
    <n v="0"/>
    <n v="0"/>
    <n v="0"/>
    <m/>
    <n v="0"/>
    <x v="0"/>
    <s v="12:48hr equipo cpw-12 ingresa en linea, alineado con gas CYC. En modo reparto de carga // Equipo disponible por baja presion de gas Costayaco"/>
  </r>
  <r>
    <d v="2026-06-29T00:00:00"/>
    <s v="COPOWER"/>
    <s v="COSTAYACO"/>
    <x v="0"/>
    <n v="24"/>
    <n v="0"/>
    <n v="15821"/>
    <n v="0"/>
    <n v="0"/>
    <n v="0"/>
    <n v="24"/>
    <n v="0"/>
    <x v="0"/>
    <m/>
  </r>
  <r>
    <d v="2026-06-29T00:00:00"/>
    <s v="COPOWER"/>
    <s v="COSTAYACO"/>
    <x v="1"/>
    <n v="24"/>
    <n v="0"/>
    <n v="15912"/>
    <n v="0"/>
    <n v="0"/>
    <n v="0"/>
    <m/>
    <n v="0"/>
    <x v="0"/>
    <m/>
  </r>
  <r>
    <d v="2026-06-29T00:00:00"/>
    <s v="COPOWER"/>
    <s v="COSTAYACO"/>
    <x v="2"/>
    <n v="24"/>
    <n v="0"/>
    <n v="15911"/>
    <n v="0"/>
    <n v="0"/>
    <n v="0"/>
    <m/>
    <n v="0"/>
    <x v="0"/>
    <m/>
  </r>
  <r>
    <d v="2026-06-29T00:00:00"/>
    <s v="COPOWER"/>
    <s v="COSTAYACO"/>
    <x v="3"/>
    <n v="24"/>
    <n v="0"/>
    <n v="18824"/>
    <n v="0"/>
    <n v="0"/>
    <n v="0"/>
    <m/>
    <n v="0"/>
    <x v="0"/>
    <m/>
  </r>
  <r>
    <d v="2026-06-29T00:00:00"/>
    <s v="COPOWER"/>
    <s v="COSTAYACO"/>
    <x v="4"/>
    <n v="24"/>
    <n v="0"/>
    <n v="19506"/>
    <n v="0"/>
    <n v="0"/>
    <n v="0"/>
    <m/>
    <n v="0"/>
    <x v="0"/>
    <m/>
  </r>
  <r>
    <d v="2026-06-29T00:00:00"/>
    <s v="COPOWER"/>
    <s v="COSTAYACO"/>
    <x v="5"/>
    <n v="24"/>
    <n v="0"/>
    <n v="20143"/>
    <n v="0"/>
    <n v="0"/>
    <n v="0"/>
    <n v="24"/>
    <n v="0"/>
    <x v="0"/>
    <m/>
  </r>
  <r>
    <d v="2026-06-29T00:00:00"/>
    <s v="COPOWER"/>
    <s v="COSTAYACO"/>
    <x v="6"/>
    <n v="24"/>
    <n v="0"/>
    <n v="15291"/>
    <n v="0"/>
    <n v="0"/>
    <n v="0"/>
    <m/>
    <n v="0"/>
    <x v="0"/>
    <m/>
  </r>
  <r>
    <d v="2026-06-29T00:00:00"/>
    <s v="COPOWER"/>
    <s v="COSTAYACO"/>
    <x v="7"/>
    <n v="0"/>
    <n v="24"/>
    <n v="0"/>
    <n v="0"/>
    <n v="0"/>
    <n v="0"/>
    <m/>
    <n v="0"/>
    <x v="0"/>
    <m/>
  </r>
  <r>
    <d v="2026-06-29T00:00:00"/>
    <s v="COPOWER"/>
    <s v="COSTAYACO"/>
    <x v="8"/>
    <n v="0"/>
    <n v="24"/>
    <n v="0"/>
    <n v="0"/>
    <n v="0"/>
    <n v="0"/>
    <m/>
    <n v="0"/>
    <x v="0"/>
    <m/>
  </r>
  <r>
    <d v="2026-06-29T00:00:00"/>
    <s v="COPOWER"/>
    <s v="COSTAYACO"/>
    <x v="9"/>
    <n v="0"/>
    <n v="24"/>
    <n v="0"/>
    <n v="0"/>
    <n v="0"/>
    <n v="0"/>
    <m/>
    <n v="0"/>
    <x v="0"/>
    <m/>
  </r>
  <r>
    <d v="2026-06-29T00:00:00"/>
    <s v="COPOWER"/>
    <s v="VONU"/>
    <x v="10"/>
    <n v="24"/>
    <n v="0"/>
    <n v="9409"/>
    <n v="0"/>
    <n v="0"/>
    <n v="0"/>
    <m/>
    <n v="0"/>
    <x v="0"/>
    <m/>
  </r>
  <r>
    <d v="2026-06-29T00:00:00"/>
    <s v="COPOWER"/>
    <s v="VONU"/>
    <x v="11"/>
    <n v="24"/>
    <n v="0"/>
    <n v="8692"/>
    <n v="0"/>
    <n v="0"/>
    <n v="0"/>
    <m/>
    <n v="0"/>
    <x v="0"/>
    <m/>
  </r>
  <r>
    <d v="2026-06-29T00:00:00"/>
    <s v="COPOWER"/>
    <s v="COSTAYACO"/>
    <x v="12"/>
    <n v="12"/>
    <n v="12"/>
    <n v="4257"/>
    <n v="0"/>
    <n v="0"/>
    <n v="0"/>
    <m/>
    <n v="0"/>
    <x v="0"/>
    <s v="12:50:00 p. m. A solicitud del CCM, ingresa en linea equipo Jinan-10 con gas CYC.// Equipo disponible por baja presion de gas Costayaco"/>
  </r>
  <r>
    <d v="2026-06-29T00:00:00"/>
    <s v="COPOWER"/>
    <s v="COSTAYACO"/>
    <x v="13"/>
    <n v="0"/>
    <n v="24"/>
    <n v="0"/>
    <n v="0"/>
    <n v="0"/>
    <n v="0"/>
    <m/>
    <n v="0"/>
    <x v="0"/>
    <s v="Equipo disponible por baja presion de gas Costayaco"/>
  </r>
  <r>
    <d v="2026-06-29T00:00:00"/>
    <s v="COPOWER"/>
    <s v="COSTAYACO"/>
    <x v="14"/>
    <n v="14"/>
    <n v="10"/>
    <n v="5447"/>
    <n v="0"/>
    <n v="0"/>
    <n v="0"/>
    <m/>
    <n v="0"/>
    <x v="0"/>
    <s v="14:34:00 p.m.  hrs A solicitud del CCM, sale de línea Equipo CPW-12 parada manual por caída de presión de gas CYC. // Equipo disponible por baja presion de gas Costayaco"/>
  </r>
  <r>
    <d v="2026-06-30T00:00:00"/>
    <s v="COPOWER"/>
    <s v="COSTAYACO"/>
    <x v="0"/>
    <n v="20"/>
    <n v="4"/>
    <n v="12484"/>
    <n v="0"/>
    <n v="0"/>
    <n v="0"/>
    <n v="24"/>
    <n v="0"/>
    <x v="0"/>
    <s v="7:11:00 a. m salen de linea equipos Cpw01-02-03-07 por salida de MRU, equipos en stan by disponibles por por mtto programado de la MRU."/>
  </r>
  <r>
    <d v="2026-06-30T00:00:00"/>
    <s v="COPOWER"/>
    <s v="COSTAYACO"/>
    <x v="1"/>
    <n v="19"/>
    <n v="5"/>
    <n v="11876"/>
    <n v="0"/>
    <n v="0"/>
    <n v="0"/>
    <m/>
    <n v="0"/>
    <x v="0"/>
    <s v="7:11:00 a. m salen de linea equipos Cpw01-02-03-07 por salida de MRU, equipos en stan by disponibles por por mtto programado de la MRU."/>
  </r>
  <r>
    <d v="2026-06-30T00:00:00"/>
    <s v="COPOWER"/>
    <s v="COSTAYACO"/>
    <x v="2"/>
    <n v="19"/>
    <n v="5"/>
    <n v="12269"/>
    <n v="0"/>
    <n v="0"/>
    <n v="0"/>
    <m/>
    <n v="0"/>
    <x v="0"/>
    <s v="7:11:00 a. m salen de linea equipos Cpw01-02-03-07 por salida de MRU, equipos en stan by disponibles por por mtto programado de la MRU."/>
  </r>
  <r>
    <d v="2026-06-30T00:00:00"/>
    <s v="COPOWER"/>
    <s v="COSTAYACO"/>
    <x v="3"/>
    <n v="24"/>
    <n v="0"/>
    <n v="19476"/>
    <n v="0"/>
    <n v="0"/>
    <n v="0"/>
    <m/>
    <n v="0"/>
    <x v="0"/>
    <s v=" "/>
  </r>
  <r>
    <d v="2026-06-30T00:00:00"/>
    <s v="COPOWER"/>
    <s v="COSTAYACO"/>
    <x v="4"/>
    <n v="23"/>
    <n v="1"/>
    <n v="19132"/>
    <n v="0"/>
    <n v="0"/>
    <n v="0"/>
    <m/>
    <n v="0"/>
    <x v="0"/>
    <s v="09:21:00 hrs en coordinación con CCM sale de línea equipo CPW05, Maniobra para presurizar Tanques GLP.  10:14:00 hrs en coordinación con CCM ingresa en línea equipo CPW05, finaliza maniobra prezurizar tanques."/>
  </r>
  <r>
    <d v="2026-06-30T00:00:00"/>
    <s v="COPOWER"/>
    <s v="COSTAYACO"/>
    <x v="5"/>
    <n v="24"/>
    <n v="0"/>
    <n v="20181"/>
    <n v="0"/>
    <n v="0"/>
    <n v="0"/>
    <n v="24"/>
    <n v="0"/>
    <x v="0"/>
    <s v=" "/>
  </r>
  <r>
    <d v="2026-06-30T00:00:00"/>
    <s v="COPOWER"/>
    <s v="COSTAYACO"/>
    <x v="6"/>
    <n v="19"/>
    <n v="5"/>
    <n v="11974"/>
    <n v="0"/>
    <n v="0"/>
    <n v="0"/>
    <m/>
    <n v="0"/>
    <x v="0"/>
    <s v="7:11:00 a. m salen de linea equipos Cpw01-02-03-07 por salida de MRU, equipos en stan by disponibles por por mtto programado de la MRU."/>
  </r>
  <r>
    <d v="2026-06-30T00:00:00"/>
    <s v="COPOWER"/>
    <s v="COSTAYACO"/>
    <x v="7"/>
    <n v="0"/>
    <n v="24"/>
    <n v="0"/>
    <n v="0"/>
    <n v="0"/>
    <n v="0"/>
    <m/>
    <n v="0"/>
    <x v="0"/>
    <s v=" "/>
  </r>
  <r>
    <d v="2026-06-30T00:00:00"/>
    <s v="COPOWER"/>
    <s v="COSTAYACO"/>
    <x v="8"/>
    <n v="0"/>
    <n v="24"/>
    <n v="0"/>
    <n v="0"/>
    <n v="0"/>
    <n v="0"/>
    <m/>
    <n v="0"/>
    <x v="0"/>
    <s v=" "/>
  </r>
  <r>
    <d v="2026-06-30T00:00:00"/>
    <s v="COPOWER"/>
    <s v="COSTAYACO"/>
    <x v="9"/>
    <n v="0"/>
    <n v="24"/>
    <n v="0"/>
    <n v="0"/>
    <n v="0"/>
    <n v="0"/>
    <m/>
    <n v="0"/>
    <x v="0"/>
    <s v=" "/>
  </r>
  <r>
    <d v="2026-06-30T00:00:00"/>
    <s v="COPOWER"/>
    <s v="VONU"/>
    <x v="10"/>
    <n v="24"/>
    <n v="0"/>
    <n v="9160"/>
    <n v="0"/>
    <n v="0"/>
    <n v="0"/>
    <m/>
    <n v="0"/>
    <x v="0"/>
    <s v=" "/>
  </r>
  <r>
    <d v="2026-06-30T00:00:00"/>
    <s v="COPOWER"/>
    <s v="VONU"/>
    <x v="11"/>
    <n v="24"/>
    <n v="0"/>
    <n v="8411"/>
    <n v="0"/>
    <n v="0"/>
    <n v="0"/>
    <m/>
    <n v="0"/>
    <x v="0"/>
    <s v=" "/>
  </r>
  <r>
    <d v="2026-06-30T00:00:00"/>
    <s v="COPOWER"/>
    <s v="COSTAYACO"/>
    <x v="12"/>
    <n v="24"/>
    <n v="0"/>
    <n v="8826"/>
    <n v="0"/>
    <n v="0"/>
    <n v="0"/>
    <m/>
    <n v="0"/>
    <x v="0"/>
    <s v=" "/>
  </r>
  <r>
    <d v="2026-06-30T00:00:00"/>
    <s v="COPOWER"/>
    <s v="COSTAYACO"/>
    <x v="13"/>
    <n v="14"/>
    <n v="10"/>
    <n v="5006"/>
    <n v="0"/>
    <n v="0"/>
    <n v="0"/>
    <m/>
    <n v="0"/>
    <x v="0"/>
    <s v="7:28:00 a. m. ingresa en linea CPW011, por solicitud de ccm por mantnimiento programado de la MRU._x000a_10:10:00 hrs A solicitud del CCM, salen de  línea equipo CPW11, ingresa en línea MRU en modo pesado. // Equipo disponible por baja presion de gas Costayaco"/>
  </r>
  <r>
    <d v="2026-06-30T00:00:00"/>
    <s v="COPOWER"/>
    <s v="COSTAYACO"/>
    <x v="14"/>
    <n v="4"/>
    <n v="20"/>
    <n v="1403"/>
    <n v="0"/>
    <n v="0"/>
    <n v="0"/>
    <m/>
    <n v="0"/>
    <x v="0"/>
    <s v="7:41:00 a. m. ingresa en linea CPW012, por solicitud de ccm por mantnimiento programado de la MRU.10:10 hrs A solicitud del CCM, salen de  línea equipo CPW12, ingresa en línea MRU en modo pesado.  // Equipo disponible por baja presion de gas Costayac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AB5BE-D110-4148-A6AB-3BB785CF07A1}" name="TablaDinámica1" cacheId="29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I19" firstHeaderRow="0" firstDataRow="1" firstDataCol="1"/>
  <pivotFields count="14">
    <pivotField numFmtId="164" showAll="0"/>
    <pivotField showAll="0"/>
    <pivotField showAll="0"/>
    <pivotField axis="axisRow" showAll="0">
      <items count="16">
        <item x="0"/>
        <item x="1"/>
        <item x="2"/>
        <item x="3"/>
        <item x="4"/>
        <item x="5"/>
        <item x="6"/>
        <item x="7"/>
        <item x="8"/>
        <item x="9"/>
        <item x="10"/>
        <item x="11"/>
        <item x="12"/>
        <item x="13"/>
        <item x="1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3">
        <item x="0"/>
        <item x="1"/>
        <item t="default"/>
      </items>
    </pivotField>
    <pivotField showAll="0"/>
  </pivotFields>
  <rowFields count="1">
    <field x="3"/>
  </rowFields>
  <rowItems count="16">
    <i>
      <x/>
    </i>
    <i>
      <x v="1"/>
    </i>
    <i>
      <x v="2"/>
    </i>
    <i>
      <x v="3"/>
    </i>
    <i>
      <x v="4"/>
    </i>
    <i>
      <x v="5"/>
    </i>
    <i>
      <x v="6"/>
    </i>
    <i>
      <x v="7"/>
    </i>
    <i>
      <x v="8"/>
    </i>
    <i>
      <x v="9"/>
    </i>
    <i>
      <x v="10"/>
    </i>
    <i>
      <x v="11"/>
    </i>
    <i>
      <x v="12"/>
    </i>
    <i>
      <x v="13"/>
    </i>
    <i>
      <x v="14"/>
    </i>
    <i t="grand">
      <x/>
    </i>
  </rowItems>
  <colFields count="1">
    <field x="-2"/>
  </colFields>
  <colItems count="8">
    <i>
      <x/>
    </i>
    <i i="1">
      <x v="1"/>
    </i>
    <i i="2">
      <x v="2"/>
    </i>
    <i i="3">
      <x v="3"/>
    </i>
    <i i="4">
      <x v="4"/>
    </i>
    <i i="5">
      <x v="5"/>
    </i>
    <i i="6">
      <x v="6"/>
    </i>
    <i i="7">
      <x v="7"/>
    </i>
  </colItems>
  <dataFields count="8">
    <dataField name="Suma de Horas_oper_dia" fld="4" baseField="0" baseItem="0"/>
    <dataField name="Suma de Horas en Stand By" fld="5" baseField="0" baseItem="0"/>
    <dataField name="Suma de Energia_kWh_dia" fld="6" baseField="0" baseItem="0"/>
    <dataField name="Suma de Horas_PP" fld="7" baseField="0" baseItem="0"/>
    <dataField name="Suma de Horas_PF_contr" fld="8" baseField="0" baseItem="0"/>
    <dataField name="Suma de Horas_PF_cli" fld="9" baseField="0" baseItem="0"/>
    <dataField name="Suma de Horas_cal_dia" fld="10" baseField="0" baseItem="0"/>
    <dataField name="Suma de Falla_evento"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043A-15D2-45F9-A5C5-C6B827C8D0A2}">
  <dimension ref="A3:I19"/>
  <sheetViews>
    <sheetView workbookViewId="0">
      <selection activeCell="B21" sqref="B21"/>
    </sheetView>
  </sheetViews>
  <sheetFormatPr defaultColWidth="11.42578125" defaultRowHeight="14.45"/>
  <cols>
    <col min="1" max="1" width="16.5703125" bestFit="1" customWidth="1"/>
    <col min="2" max="2" width="21.7109375" bestFit="1" customWidth="1"/>
    <col min="3" max="3" width="23.5703125" bestFit="1" customWidth="1"/>
    <col min="4" max="4" width="22.7109375" bestFit="1" customWidth="1"/>
    <col min="5" max="5" width="16.5703125" bestFit="1" customWidth="1"/>
    <col min="6" max="6" width="21.7109375" bestFit="1" customWidth="1"/>
    <col min="7" max="7" width="19.28515625" bestFit="1" customWidth="1"/>
    <col min="8" max="8" width="20.28515625" bestFit="1" customWidth="1"/>
    <col min="9" max="9" width="19.140625" bestFit="1" customWidth="1"/>
  </cols>
  <sheetData>
    <row r="3" spans="1:9">
      <c r="A3" s="7" t="s">
        <v>0</v>
      </c>
      <c r="B3" t="s">
        <v>1</v>
      </c>
      <c r="C3" t="s">
        <v>2</v>
      </c>
      <c r="D3" t="s">
        <v>3</v>
      </c>
      <c r="E3" t="s">
        <v>4</v>
      </c>
      <c r="F3" t="s">
        <v>5</v>
      </c>
      <c r="G3" t="s">
        <v>6</v>
      </c>
      <c r="H3" t="s">
        <v>7</v>
      </c>
      <c r="I3" t="s">
        <v>8</v>
      </c>
    </row>
    <row r="4" spans="1:9">
      <c r="A4" s="8" t="s">
        <v>9</v>
      </c>
      <c r="B4">
        <v>572</v>
      </c>
      <c r="C4">
        <v>60</v>
      </c>
      <c r="D4">
        <v>356623.37800000003</v>
      </c>
      <c r="E4">
        <v>0</v>
      </c>
      <c r="F4">
        <v>2</v>
      </c>
      <c r="G4">
        <v>86</v>
      </c>
      <c r="H4">
        <v>720</v>
      </c>
      <c r="I4">
        <v>2</v>
      </c>
    </row>
    <row r="5" spans="1:9">
      <c r="A5" s="8" t="s">
        <v>10</v>
      </c>
      <c r="B5">
        <v>652</v>
      </c>
      <c r="C5">
        <v>43</v>
      </c>
      <c r="D5">
        <v>394125.26899999997</v>
      </c>
      <c r="E5">
        <v>0</v>
      </c>
      <c r="F5">
        <v>0</v>
      </c>
      <c r="G5">
        <v>25</v>
      </c>
      <c r="H5">
        <v>672</v>
      </c>
      <c r="I5">
        <v>0</v>
      </c>
    </row>
    <row r="6" spans="1:9">
      <c r="A6" s="8" t="s">
        <v>11</v>
      </c>
      <c r="B6">
        <v>607</v>
      </c>
      <c r="C6">
        <v>83</v>
      </c>
      <c r="D6">
        <v>379616.66200000001</v>
      </c>
      <c r="E6">
        <v>4</v>
      </c>
      <c r="F6">
        <v>5</v>
      </c>
      <c r="G6">
        <v>21</v>
      </c>
      <c r="H6">
        <v>672</v>
      </c>
      <c r="I6">
        <v>1</v>
      </c>
    </row>
    <row r="7" spans="1:9">
      <c r="A7" s="8" t="s">
        <v>12</v>
      </c>
      <c r="B7">
        <v>708</v>
      </c>
      <c r="C7">
        <v>7</v>
      </c>
      <c r="D7">
        <v>565298.14899999998</v>
      </c>
      <c r="E7">
        <v>0</v>
      </c>
      <c r="F7">
        <v>0</v>
      </c>
      <c r="G7">
        <v>5</v>
      </c>
      <c r="H7">
        <v>672</v>
      </c>
      <c r="I7">
        <v>1</v>
      </c>
    </row>
    <row r="8" spans="1:9">
      <c r="A8" s="8" t="s">
        <v>13</v>
      </c>
      <c r="B8">
        <v>699</v>
      </c>
      <c r="C8">
        <v>8</v>
      </c>
      <c r="D8">
        <v>567694.18099999998</v>
      </c>
      <c r="E8">
        <v>7</v>
      </c>
      <c r="F8">
        <v>1</v>
      </c>
      <c r="G8">
        <v>5</v>
      </c>
      <c r="H8">
        <v>672</v>
      </c>
      <c r="I8">
        <v>2</v>
      </c>
    </row>
    <row r="9" spans="1:9">
      <c r="A9" s="8" t="s">
        <v>14</v>
      </c>
      <c r="B9">
        <v>667</v>
      </c>
      <c r="C9">
        <v>45</v>
      </c>
      <c r="D9">
        <v>540992.60700000008</v>
      </c>
      <c r="E9">
        <v>0</v>
      </c>
      <c r="F9">
        <v>7</v>
      </c>
      <c r="G9">
        <v>1</v>
      </c>
      <c r="H9">
        <v>720</v>
      </c>
      <c r="I9">
        <v>3</v>
      </c>
    </row>
    <row r="10" spans="1:9">
      <c r="A10" s="8" t="s">
        <v>15</v>
      </c>
      <c r="B10">
        <v>605</v>
      </c>
      <c r="C10">
        <v>90</v>
      </c>
      <c r="D10">
        <v>386221</v>
      </c>
      <c r="E10">
        <v>0</v>
      </c>
      <c r="F10">
        <v>5</v>
      </c>
      <c r="G10">
        <v>20</v>
      </c>
      <c r="H10">
        <v>672</v>
      </c>
      <c r="I10">
        <v>1</v>
      </c>
    </row>
    <row r="11" spans="1:9">
      <c r="A11" s="8" t="s">
        <v>16</v>
      </c>
      <c r="B11">
        <v>24</v>
      </c>
      <c r="C11">
        <v>696</v>
      </c>
      <c r="D11">
        <v>15967</v>
      </c>
      <c r="E11">
        <v>0</v>
      </c>
      <c r="F11">
        <v>0</v>
      </c>
      <c r="G11">
        <v>0</v>
      </c>
      <c r="H11">
        <v>672</v>
      </c>
      <c r="I11">
        <v>0</v>
      </c>
    </row>
    <row r="12" spans="1:9">
      <c r="A12" s="8" t="s">
        <v>17</v>
      </c>
      <c r="B12">
        <v>63</v>
      </c>
      <c r="C12">
        <v>657</v>
      </c>
      <c r="D12">
        <v>49726</v>
      </c>
      <c r="E12">
        <v>0</v>
      </c>
      <c r="F12">
        <v>0</v>
      </c>
      <c r="G12">
        <v>0</v>
      </c>
      <c r="H12">
        <v>672</v>
      </c>
      <c r="I12">
        <v>0</v>
      </c>
    </row>
    <row r="13" spans="1:9">
      <c r="A13" s="8" t="s">
        <v>18</v>
      </c>
      <c r="B13">
        <v>76</v>
      </c>
      <c r="C13">
        <v>644</v>
      </c>
      <c r="D13">
        <v>54023</v>
      </c>
      <c r="E13">
        <v>0</v>
      </c>
      <c r="F13">
        <v>0</v>
      </c>
      <c r="G13">
        <v>0</v>
      </c>
      <c r="H13">
        <v>672</v>
      </c>
      <c r="I13">
        <v>0</v>
      </c>
    </row>
    <row r="14" spans="1:9">
      <c r="A14" s="8" t="s">
        <v>19</v>
      </c>
      <c r="B14">
        <v>701</v>
      </c>
      <c r="C14">
        <v>12</v>
      </c>
      <c r="D14">
        <v>257713</v>
      </c>
      <c r="E14">
        <v>6</v>
      </c>
      <c r="F14">
        <v>0</v>
      </c>
      <c r="G14">
        <v>1</v>
      </c>
      <c r="H14">
        <v>672</v>
      </c>
      <c r="I14">
        <v>0</v>
      </c>
    </row>
    <row r="15" spans="1:9">
      <c r="A15" s="8" t="s">
        <v>20</v>
      </c>
      <c r="B15">
        <v>697</v>
      </c>
      <c r="C15">
        <v>6</v>
      </c>
      <c r="D15">
        <v>232875</v>
      </c>
      <c r="E15">
        <v>7</v>
      </c>
      <c r="F15">
        <v>0</v>
      </c>
      <c r="G15">
        <v>10</v>
      </c>
      <c r="H15">
        <v>672</v>
      </c>
      <c r="I15">
        <v>0</v>
      </c>
    </row>
    <row r="16" spans="1:9">
      <c r="A16" s="8" t="s">
        <v>21</v>
      </c>
      <c r="B16">
        <v>471</v>
      </c>
      <c r="C16">
        <v>230</v>
      </c>
      <c r="D16">
        <v>172764</v>
      </c>
      <c r="E16">
        <v>4</v>
      </c>
      <c r="F16">
        <v>0</v>
      </c>
      <c r="G16">
        <v>15</v>
      </c>
      <c r="H16">
        <v>672</v>
      </c>
      <c r="I16">
        <v>0</v>
      </c>
    </row>
    <row r="17" spans="1:9">
      <c r="A17" s="8" t="s">
        <v>22</v>
      </c>
      <c r="B17">
        <v>140</v>
      </c>
      <c r="C17">
        <v>316</v>
      </c>
      <c r="D17">
        <v>54249</v>
      </c>
      <c r="E17">
        <v>0</v>
      </c>
      <c r="F17">
        <v>0</v>
      </c>
      <c r="G17">
        <v>0</v>
      </c>
      <c r="H17">
        <v>384</v>
      </c>
      <c r="I17">
        <v>0</v>
      </c>
    </row>
    <row r="18" spans="1:9">
      <c r="A18" s="8" t="s">
        <v>23</v>
      </c>
      <c r="B18">
        <v>225</v>
      </c>
      <c r="C18">
        <v>231</v>
      </c>
      <c r="D18">
        <v>82256</v>
      </c>
      <c r="E18">
        <v>0</v>
      </c>
      <c r="F18">
        <v>0</v>
      </c>
      <c r="G18">
        <v>0</v>
      </c>
      <c r="H18">
        <v>384</v>
      </c>
      <c r="I18">
        <v>0</v>
      </c>
    </row>
    <row r="19" spans="1:9">
      <c r="A19" s="8" t="s">
        <v>24</v>
      </c>
      <c r="B19">
        <v>6907</v>
      </c>
      <c r="C19">
        <v>3128</v>
      </c>
      <c r="D19">
        <v>4110144.2460000003</v>
      </c>
      <c r="E19">
        <v>28</v>
      </c>
      <c r="F19">
        <v>20</v>
      </c>
      <c r="G19">
        <v>189</v>
      </c>
      <c r="H19">
        <v>9600</v>
      </c>
      <c r="I19">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7EB3-11CB-4AF3-AACA-67A52FD58E80}">
  <sheetPr filterMode="1"/>
  <dimension ref="A1:O429"/>
  <sheetViews>
    <sheetView tabSelected="1" topLeftCell="J1" zoomScale="55" zoomScaleNormal="55" workbookViewId="0">
      <selection activeCell="K441" sqref="K441"/>
    </sheetView>
  </sheetViews>
  <sheetFormatPr defaultColWidth="11.42578125" defaultRowHeight="14.45"/>
  <cols>
    <col min="1" max="1" width="13.28515625" customWidth="1"/>
    <col min="2" max="2" width="13" customWidth="1"/>
    <col min="3" max="3" width="13.28515625" customWidth="1"/>
    <col min="4" max="4" width="13.42578125" customWidth="1"/>
    <col min="5" max="6" width="16" customWidth="1"/>
    <col min="7" max="7" width="17" customWidth="1"/>
    <col min="8" max="8" width="10" customWidth="1"/>
    <col min="9" max="9" width="16" customWidth="1"/>
    <col min="10" max="10" width="14" customWidth="1"/>
    <col min="11" max="11" width="15" customWidth="1"/>
    <col min="12" max="12" width="14" customWidth="1"/>
    <col min="13" max="13" width="16.28515625" customWidth="1"/>
    <col min="14" max="14" width="255.7109375" bestFit="1" customWidth="1"/>
    <col min="15" max="15" width="49.28515625" customWidth="1"/>
  </cols>
  <sheetData>
    <row r="1" spans="1:15" ht="28.9">
      <c r="A1" s="1" t="s">
        <v>25</v>
      </c>
      <c r="B1" s="1" t="s">
        <v>26</v>
      </c>
      <c r="C1" s="1" t="s">
        <v>27</v>
      </c>
      <c r="D1" s="1" t="s">
        <v>28</v>
      </c>
      <c r="E1" s="1" t="s">
        <v>29</v>
      </c>
      <c r="F1" s="1" t="s">
        <v>30</v>
      </c>
      <c r="G1" s="1" t="s">
        <v>31</v>
      </c>
      <c r="H1" s="1" t="s">
        <v>32</v>
      </c>
      <c r="I1" s="1" t="s">
        <v>33</v>
      </c>
      <c r="J1" s="1" t="s">
        <v>34</v>
      </c>
      <c r="K1" s="1" t="s">
        <v>35</v>
      </c>
      <c r="L1" s="1" t="s">
        <v>36</v>
      </c>
      <c r="M1" s="1" t="s">
        <v>37</v>
      </c>
      <c r="N1" s="1" t="s">
        <v>38</v>
      </c>
      <c r="O1" s="1" t="s">
        <v>39</v>
      </c>
    </row>
    <row r="2" spans="1:15" hidden="1">
      <c r="A2" s="2">
        <v>46174</v>
      </c>
      <c r="B2" t="s">
        <v>40</v>
      </c>
      <c r="C2" t="s">
        <v>41</v>
      </c>
      <c r="D2" t="s">
        <v>9</v>
      </c>
      <c r="E2">
        <v>24</v>
      </c>
      <c r="F2">
        <v>0</v>
      </c>
      <c r="G2">
        <v>15194</v>
      </c>
      <c r="H2">
        <v>0</v>
      </c>
      <c r="I2">
        <v>0</v>
      </c>
      <c r="J2">
        <v>0</v>
      </c>
      <c r="K2">
        <f t="shared" ref="K2:K67" si="0">SUM(E2+F2+H2+I2+J2)</f>
        <v>24</v>
      </c>
      <c r="L2">
        <v>0</v>
      </c>
      <c r="M2" t="str">
        <f>IF(L2=0,"",IF(#REF!&gt;0,"CONTRATISTA",IF(#REF!&gt;0,"CLIENTE","SIN_INFO")))</f>
        <v/>
      </c>
      <c r="N2" s="3"/>
    </row>
    <row r="3" spans="1:15" hidden="1">
      <c r="A3" s="2">
        <v>46174</v>
      </c>
      <c r="B3" t="s">
        <v>40</v>
      </c>
      <c r="C3" t="s">
        <v>41</v>
      </c>
      <c r="D3" t="s">
        <v>10</v>
      </c>
      <c r="E3">
        <v>24</v>
      </c>
      <c r="F3">
        <v>0</v>
      </c>
      <c r="G3">
        <v>15399</v>
      </c>
      <c r="H3">
        <v>0</v>
      </c>
      <c r="I3">
        <v>0</v>
      </c>
      <c r="J3">
        <v>0</v>
      </c>
      <c r="K3">
        <f t="shared" si="0"/>
        <v>24</v>
      </c>
      <c r="L3">
        <v>0</v>
      </c>
      <c r="M3" t="str">
        <f>IF(L3=0,"",IF(#REF!&gt;0,"CONTRATISTA",IF(#REF!&gt;0,"CLIENTE","SIN_INFO")))</f>
        <v/>
      </c>
      <c r="N3" s="3"/>
    </row>
    <row r="4" spans="1:15" hidden="1">
      <c r="A4" s="2">
        <v>46174</v>
      </c>
      <c r="B4" t="s">
        <v>40</v>
      </c>
      <c r="C4" t="s">
        <v>41</v>
      </c>
      <c r="D4" t="s">
        <v>11</v>
      </c>
      <c r="E4">
        <v>24</v>
      </c>
      <c r="F4">
        <v>0</v>
      </c>
      <c r="G4">
        <v>15288</v>
      </c>
      <c r="H4">
        <v>0</v>
      </c>
      <c r="I4">
        <v>0</v>
      </c>
      <c r="J4">
        <v>0</v>
      </c>
      <c r="K4">
        <f t="shared" si="0"/>
        <v>24</v>
      </c>
      <c r="L4">
        <v>0</v>
      </c>
      <c r="M4" t="str">
        <f>IF(L4=0,"",IF(#REF!&gt;0,"CONTRATISTA",IF(#REF!&gt;0,"CLIENTE","SIN_INFO")))</f>
        <v/>
      </c>
      <c r="N4" s="3"/>
    </row>
    <row r="5" spans="1:15" hidden="1">
      <c r="A5" s="2">
        <v>46174</v>
      </c>
      <c r="B5" t="s">
        <v>40</v>
      </c>
      <c r="C5" t="s">
        <v>41</v>
      </c>
      <c r="D5" t="s">
        <v>12</v>
      </c>
      <c r="E5">
        <v>24</v>
      </c>
      <c r="F5">
        <v>0</v>
      </c>
      <c r="G5">
        <v>13174</v>
      </c>
      <c r="H5">
        <v>0</v>
      </c>
      <c r="I5">
        <v>0</v>
      </c>
      <c r="J5">
        <v>0</v>
      </c>
      <c r="K5">
        <f t="shared" si="0"/>
        <v>24</v>
      </c>
      <c r="L5">
        <v>0</v>
      </c>
      <c r="M5" t="str">
        <f>IF(L5=0,"",IF(#REF!&gt;0,"CONTRATISTA",IF(#REF!&gt;0,"CLIENTE","SIN_INFO")))</f>
        <v/>
      </c>
      <c r="N5" s="4"/>
    </row>
    <row r="6" spans="1:15" hidden="1">
      <c r="A6" s="2">
        <v>46174</v>
      </c>
      <c r="B6" t="s">
        <v>40</v>
      </c>
      <c r="C6" t="s">
        <v>41</v>
      </c>
      <c r="D6" t="s">
        <v>13</v>
      </c>
      <c r="E6">
        <v>24</v>
      </c>
      <c r="F6">
        <v>0</v>
      </c>
      <c r="G6">
        <v>20966</v>
      </c>
      <c r="H6">
        <v>0</v>
      </c>
      <c r="I6">
        <v>0</v>
      </c>
      <c r="J6">
        <v>0</v>
      </c>
      <c r="K6">
        <f t="shared" si="0"/>
        <v>24</v>
      </c>
      <c r="L6">
        <v>0</v>
      </c>
      <c r="M6" t="str">
        <f>IF(L6=0,"",IF(#REF!&gt;0,"CONTRATISTA",IF(#REF!&gt;0,"CLIENTE","SIN_INFO")))</f>
        <v/>
      </c>
      <c r="N6" s="4"/>
    </row>
    <row r="7" spans="1:15" hidden="1">
      <c r="A7" s="2">
        <v>46174</v>
      </c>
      <c r="B7" t="s">
        <v>40</v>
      </c>
      <c r="C7" t="s">
        <v>41</v>
      </c>
      <c r="D7" t="s">
        <v>14</v>
      </c>
      <c r="E7">
        <v>20</v>
      </c>
      <c r="F7">
        <v>4</v>
      </c>
      <c r="G7">
        <v>13240</v>
      </c>
      <c r="H7">
        <v>0</v>
      </c>
      <c r="I7">
        <v>0</v>
      </c>
      <c r="J7">
        <v>0</v>
      </c>
      <c r="K7">
        <f t="shared" si="0"/>
        <v>24</v>
      </c>
      <c r="L7">
        <v>0</v>
      </c>
      <c r="M7" t="str">
        <f>IF(L7=0,"",IF(#REF!&gt;0,"CONTRATISTA",IF(#REF!&gt;0,"CLIENTE","SIN_INFO")))</f>
        <v/>
      </c>
      <c r="N7" s="4"/>
    </row>
    <row r="8" spans="1:15" hidden="1">
      <c r="A8" s="2">
        <v>46174</v>
      </c>
      <c r="B8" t="s">
        <v>40</v>
      </c>
      <c r="C8" t="s">
        <v>41</v>
      </c>
      <c r="D8" t="s">
        <v>15</v>
      </c>
      <c r="E8">
        <v>24</v>
      </c>
      <c r="F8">
        <v>0</v>
      </c>
      <c r="G8">
        <v>16500</v>
      </c>
      <c r="H8">
        <v>0</v>
      </c>
      <c r="I8">
        <v>0</v>
      </c>
      <c r="J8">
        <v>0</v>
      </c>
      <c r="K8">
        <f t="shared" si="0"/>
        <v>24</v>
      </c>
      <c r="L8">
        <v>0</v>
      </c>
      <c r="M8" t="str">
        <f>IF(L8=0,"",IF(#REF!&gt;0,"CONTRATISTA",IF(#REF!&gt;0,"CLIENTE","SIN_INFO")))</f>
        <v/>
      </c>
      <c r="N8" s="4"/>
    </row>
    <row r="9" spans="1:15" hidden="1">
      <c r="A9" s="2">
        <v>46174</v>
      </c>
      <c r="B9" t="s">
        <v>40</v>
      </c>
      <c r="C9" t="s">
        <v>41</v>
      </c>
      <c r="D9" t="s">
        <v>16</v>
      </c>
      <c r="E9">
        <v>0</v>
      </c>
      <c r="F9">
        <v>24</v>
      </c>
      <c r="G9">
        <v>0</v>
      </c>
      <c r="H9">
        <v>0</v>
      </c>
      <c r="I9">
        <v>0</v>
      </c>
      <c r="J9">
        <v>0</v>
      </c>
      <c r="K9">
        <f t="shared" si="0"/>
        <v>24</v>
      </c>
      <c r="L9">
        <v>0</v>
      </c>
      <c r="M9" t="str">
        <f>IF(L9=0,"",IF(#REF!&gt;0,"CONTRATISTA",IF(#REF!&gt;0,"CLIENTE","SIN_INFO")))</f>
        <v/>
      </c>
      <c r="N9" s="4"/>
    </row>
    <row r="10" spans="1:15" hidden="1">
      <c r="A10" s="2">
        <v>46174</v>
      </c>
      <c r="B10" t="s">
        <v>40</v>
      </c>
      <c r="C10" t="s">
        <v>41</v>
      </c>
      <c r="D10" t="s">
        <v>17</v>
      </c>
      <c r="E10">
        <v>0</v>
      </c>
      <c r="F10">
        <v>24</v>
      </c>
      <c r="G10">
        <v>0</v>
      </c>
      <c r="H10">
        <v>0</v>
      </c>
      <c r="I10">
        <v>0</v>
      </c>
      <c r="J10">
        <v>0</v>
      </c>
      <c r="K10">
        <f t="shared" si="0"/>
        <v>24</v>
      </c>
      <c r="L10">
        <v>0</v>
      </c>
      <c r="M10" t="str">
        <f>IF(L10=0,"",IF(#REF!&gt;0,"CONTRATISTA",IF(#REF!&gt;0,"CLIENTE","SIN_INFO")))</f>
        <v/>
      </c>
      <c r="N10" s="4"/>
    </row>
    <row r="11" spans="1:15" hidden="1">
      <c r="A11" s="2">
        <v>46174</v>
      </c>
      <c r="B11" t="s">
        <v>40</v>
      </c>
      <c r="C11" t="s">
        <v>41</v>
      </c>
      <c r="D11" t="s">
        <v>18</v>
      </c>
      <c r="E11">
        <v>0</v>
      </c>
      <c r="F11">
        <v>24</v>
      </c>
      <c r="G11">
        <v>0</v>
      </c>
      <c r="H11">
        <v>0</v>
      </c>
      <c r="I11">
        <v>0</v>
      </c>
      <c r="J11">
        <v>0</v>
      </c>
      <c r="K11">
        <f t="shared" si="0"/>
        <v>24</v>
      </c>
      <c r="L11">
        <v>0</v>
      </c>
      <c r="M11" t="str">
        <f>IF(L11=0,"",IF(#REF!&gt;0,"CONTRATISTA",IF(#REF!&gt;0,"CLIENTE","SIN_INFO")))</f>
        <v/>
      </c>
      <c r="N11" s="4"/>
    </row>
    <row r="12" spans="1:15" hidden="1">
      <c r="A12" s="2">
        <v>46174</v>
      </c>
      <c r="B12" t="s">
        <v>40</v>
      </c>
      <c r="C12" t="s">
        <v>42</v>
      </c>
      <c r="D12" t="s">
        <v>19</v>
      </c>
      <c r="E12">
        <v>24</v>
      </c>
      <c r="F12">
        <v>0</v>
      </c>
      <c r="G12">
        <v>8939</v>
      </c>
      <c r="H12">
        <v>0</v>
      </c>
      <c r="I12">
        <v>0</v>
      </c>
      <c r="J12">
        <v>0</v>
      </c>
      <c r="K12">
        <f t="shared" si="0"/>
        <v>24</v>
      </c>
      <c r="L12">
        <v>0</v>
      </c>
      <c r="M12" t="str">
        <f>IF(L12=0,"",IF(#REF!&gt;0,"CONTRATISTA",IF(#REF!&gt;0,"CLIENTE","SIN_INFO")))</f>
        <v/>
      </c>
      <c r="N12" s="4"/>
    </row>
    <row r="13" spans="1:15" hidden="1">
      <c r="A13" s="2">
        <v>46174</v>
      </c>
      <c r="B13" t="s">
        <v>40</v>
      </c>
      <c r="C13" t="s">
        <v>42</v>
      </c>
      <c r="D13" t="s">
        <v>20</v>
      </c>
      <c r="E13">
        <v>24</v>
      </c>
      <c r="F13">
        <v>0</v>
      </c>
      <c r="G13">
        <v>9331</v>
      </c>
      <c r="H13">
        <v>0</v>
      </c>
      <c r="I13">
        <v>0</v>
      </c>
      <c r="J13">
        <v>0</v>
      </c>
      <c r="K13">
        <f t="shared" si="0"/>
        <v>24</v>
      </c>
      <c r="L13">
        <v>0</v>
      </c>
      <c r="M13" t="str">
        <f>IF(L13=0,"",IF(#REF!&gt;0,"CONTRATISTA",IF(#REF!&gt;0,"CLIENTE","SIN_INFO")))</f>
        <v/>
      </c>
      <c r="N13" s="4"/>
    </row>
    <row r="14" spans="1:15" hidden="1">
      <c r="A14" s="2">
        <v>46174</v>
      </c>
      <c r="B14" t="s">
        <v>40</v>
      </c>
      <c r="C14" t="s">
        <v>41</v>
      </c>
      <c r="D14" t="s">
        <v>21</v>
      </c>
      <c r="E14">
        <v>23</v>
      </c>
      <c r="F14">
        <v>1</v>
      </c>
      <c r="G14">
        <v>8756</v>
      </c>
      <c r="H14">
        <v>0</v>
      </c>
      <c r="I14">
        <v>0</v>
      </c>
      <c r="J14">
        <v>0</v>
      </c>
      <c r="K14">
        <f t="shared" si="0"/>
        <v>24</v>
      </c>
      <c r="L14">
        <v>0</v>
      </c>
      <c r="M14" t="str">
        <f>IF(L14=0,"",IF(#REF!&gt;0,"CONTRATISTA",IF(#REF!&gt;0,"CLIENTE","SIN_INFO")))</f>
        <v/>
      </c>
      <c r="N14" s="4" t="s">
        <v>43</v>
      </c>
    </row>
    <row r="15" spans="1:15" hidden="1">
      <c r="A15" s="2">
        <v>46175</v>
      </c>
      <c r="B15" t="s">
        <v>40</v>
      </c>
      <c r="C15" t="s">
        <v>41</v>
      </c>
      <c r="D15" t="s">
        <v>9</v>
      </c>
      <c r="E15">
        <v>9</v>
      </c>
      <c r="F15">
        <v>0</v>
      </c>
      <c r="G15">
        <v>5324</v>
      </c>
      <c r="H15">
        <v>0</v>
      </c>
      <c r="I15">
        <v>0</v>
      </c>
      <c r="J15">
        <v>15</v>
      </c>
      <c r="K15">
        <f t="shared" si="0"/>
        <v>24</v>
      </c>
      <c r="L15">
        <v>0</v>
      </c>
      <c r="M15" t="str">
        <f>IF(L15=0,"",IF(#REF!&gt;0,"CONTRATISTA",IF(#REF!&gt;0,"CLIENTE","SIN_INFO")))</f>
        <v/>
      </c>
      <c r="N15" s="4" t="s">
        <v>44</v>
      </c>
    </row>
    <row r="16" spans="1:15" hidden="1">
      <c r="A16" s="2">
        <v>46175</v>
      </c>
      <c r="B16" t="s">
        <v>40</v>
      </c>
      <c r="C16" t="s">
        <v>41</v>
      </c>
      <c r="D16" t="s">
        <v>10</v>
      </c>
      <c r="E16">
        <v>22</v>
      </c>
      <c r="F16">
        <v>2</v>
      </c>
      <c r="G16">
        <v>13589</v>
      </c>
      <c r="H16">
        <v>0</v>
      </c>
      <c r="I16">
        <v>0</v>
      </c>
      <c r="J16">
        <v>0</v>
      </c>
      <c r="K16">
        <f t="shared" si="0"/>
        <v>24</v>
      </c>
      <c r="L16">
        <v>0</v>
      </c>
      <c r="M16" t="str">
        <f>IF(L16=0,"",IF(#REF!&gt;0,"CONTRATISTA",IF(#REF!&gt;0,"CLIENTE","SIN_INFO")))</f>
        <v/>
      </c>
      <c r="N16" s="4" t="s">
        <v>45</v>
      </c>
    </row>
    <row r="17" spans="1:14" hidden="1">
      <c r="A17" s="2">
        <v>46175</v>
      </c>
      <c r="B17" t="s">
        <v>40</v>
      </c>
      <c r="C17" t="s">
        <v>41</v>
      </c>
      <c r="D17" t="s">
        <v>11</v>
      </c>
      <c r="E17">
        <v>8</v>
      </c>
      <c r="F17">
        <v>16</v>
      </c>
      <c r="G17">
        <v>5412</v>
      </c>
      <c r="H17">
        <v>0</v>
      </c>
      <c r="I17">
        <v>0</v>
      </c>
      <c r="J17">
        <v>0</v>
      </c>
      <c r="K17">
        <f t="shared" si="0"/>
        <v>24</v>
      </c>
      <c r="L17">
        <v>0</v>
      </c>
      <c r="M17" t="str">
        <f>IF(L17=0,"",IF(#REF!&gt;0,"CONTRATISTA",IF(#REF!&gt;0,"CLIENTE","SIN_INFO")))</f>
        <v/>
      </c>
      <c r="N17" s="3" t="s">
        <v>46</v>
      </c>
    </row>
    <row r="18" spans="1:14" hidden="1">
      <c r="A18" s="2">
        <v>46175</v>
      </c>
      <c r="B18" t="s">
        <v>40</v>
      </c>
      <c r="C18" t="s">
        <v>41</v>
      </c>
      <c r="D18" t="s">
        <v>12</v>
      </c>
      <c r="E18">
        <v>24</v>
      </c>
      <c r="F18">
        <v>0</v>
      </c>
      <c r="G18">
        <v>20968</v>
      </c>
      <c r="H18">
        <v>0</v>
      </c>
      <c r="I18">
        <v>0</v>
      </c>
      <c r="J18">
        <v>0</v>
      </c>
      <c r="K18">
        <f t="shared" si="0"/>
        <v>24</v>
      </c>
      <c r="L18">
        <v>0</v>
      </c>
      <c r="M18" t="str">
        <f>IF(L18=0,"",IF(#REF!&gt;0,"CONTRATISTA",IF(#REF!&gt;0,"CLIENTE","SIN_INFO")))</f>
        <v/>
      </c>
      <c r="N18" s="3"/>
    </row>
    <row r="19" spans="1:14" hidden="1">
      <c r="A19" s="2">
        <v>46175</v>
      </c>
      <c r="B19" t="s">
        <v>40</v>
      </c>
      <c r="C19" t="s">
        <v>41</v>
      </c>
      <c r="D19" t="s">
        <v>13</v>
      </c>
      <c r="E19">
        <v>24</v>
      </c>
      <c r="F19">
        <v>0</v>
      </c>
      <c r="G19">
        <v>20968</v>
      </c>
      <c r="H19">
        <v>0</v>
      </c>
      <c r="I19">
        <v>0</v>
      </c>
      <c r="J19">
        <v>0</v>
      </c>
      <c r="K19">
        <f t="shared" si="0"/>
        <v>24</v>
      </c>
      <c r="L19">
        <v>0</v>
      </c>
      <c r="M19" t="str">
        <f>IF(L19=0,"",IF(#REF!&gt;0,"CONTRATISTA",IF(#REF!&gt;0,"CLIENTE","SIN_INFO")))</f>
        <v/>
      </c>
      <c r="N19" s="3"/>
    </row>
    <row r="20" spans="1:14" hidden="1">
      <c r="A20" s="2">
        <v>46175</v>
      </c>
      <c r="B20" t="s">
        <v>40</v>
      </c>
      <c r="C20" t="s">
        <v>41</v>
      </c>
      <c r="D20" t="s">
        <v>14</v>
      </c>
      <c r="E20">
        <v>8</v>
      </c>
      <c r="F20">
        <v>16</v>
      </c>
      <c r="G20">
        <v>4899</v>
      </c>
      <c r="H20">
        <v>0</v>
      </c>
      <c r="I20">
        <v>0</v>
      </c>
      <c r="J20">
        <v>0</v>
      </c>
      <c r="K20">
        <f t="shared" si="0"/>
        <v>24</v>
      </c>
      <c r="L20">
        <v>0</v>
      </c>
      <c r="M20" t="str">
        <f>IF(L20=0,"",IF(#REF!&gt;0,"CONTRATISTA",IF(#REF!&gt;0,"CLIENTE","SIN_INFO")))</f>
        <v/>
      </c>
      <c r="N20" s="4" t="s">
        <v>46</v>
      </c>
    </row>
    <row r="21" spans="1:14" hidden="1">
      <c r="A21" s="2">
        <v>46175</v>
      </c>
      <c r="B21" t="s">
        <v>40</v>
      </c>
      <c r="C21" t="s">
        <v>41</v>
      </c>
      <c r="D21" t="s">
        <v>15</v>
      </c>
      <c r="E21">
        <v>9</v>
      </c>
      <c r="F21">
        <v>15</v>
      </c>
      <c r="G21">
        <v>6577</v>
      </c>
      <c r="H21">
        <v>0</v>
      </c>
      <c r="I21">
        <v>0</v>
      </c>
      <c r="J21">
        <v>0</v>
      </c>
      <c r="K21">
        <f t="shared" si="0"/>
        <v>24</v>
      </c>
      <c r="L21">
        <v>0</v>
      </c>
      <c r="M21" t="str">
        <f>IF(L21=0,"",IF(#REF!&gt;0,"CONTRATISTA",IF(#REF!&gt;0,"CLIENTE","SIN_INFO")))</f>
        <v/>
      </c>
      <c r="N21" s="4" t="s">
        <v>46</v>
      </c>
    </row>
    <row r="22" spans="1:14" hidden="1">
      <c r="A22" s="2">
        <v>46175</v>
      </c>
      <c r="B22" t="s">
        <v>40</v>
      </c>
      <c r="C22" t="s">
        <v>41</v>
      </c>
      <c r="D22" t="s">
        <v>16</v>
      </c>
      <c r="E22">
        <v>0</v>
      </c>
      <c r="F22">
        <v>24</v>
      </c>
      <c r="G22">
        <v>0</v>
      </c>
      <c r="H22">
        <v>0</v>
      </c>
      <c r="I22">
        <v>0</v>
      </c>
      <c r="J22">
        <v>0</v>
      </c>
      <c r="K22">
        <f t="shared" si="0"/>
        <v>24</v>
      </c>
      <c r="L22">
        <v>0</v>
      </c>
      <c r="M22" t="str">
        <f>IF(L22=0,"",IF(#REF!&gt;0,"CONTRATISTA",IF(#REF!&gt;0,"CLIENTE","SIN_INFO")))</f>
        <v/>
      </c>
      <c r="N22" s="4"/>
    </row>
    <row r="23" spans="1:14" hidden="1">
      <c r="A23" s="2">
        <v>46175</v>
      </c>
      <c r="B23" t="s">
        <v>40</v>
      </c>
      <c r="C23" t="s">
        <v>41</v>
      </c>
      <c r="D23" t="s">
        <v>17</v>
      </c>
      <c r="E23">
        <v>5</v>
      </c>
      <c r="F23">
        <v>19</v>
      </c>
      <c r="G23">
        <v>5101</v>
      </c>
      <c r="H23">
        <v>0</v>
      </c>
      <c r="I23">
        <v>0</v>
      </c>
      <c r="J23">
        <v>0</v>
      </c>
      <c r="K23">
        <f t="shared" si="0"/>
        <v>24</v>
      </c>
      <c r="L23">
        <v>0</v>
      </c>
      <c r="M23" t="str">
        <f>IF(L23=0,"",IF(#REF!&gt;0,"CONTRATISTA",IF(#REF!&gt;0,"CLIENTE","SIN_INFO")))</f>
        <v/>
      </c>
      <c r="N23" s="4" t="s">
        <v>47</v>
      </c>
    </row>
    <row r="24" spans="1:14" hidden="1">
      <c r="A24" s="2">
        <v>46175</v>
      </c>
      <c r="B24" t="s">
        <v>40</v>
      </c>
      <c r="C24" t="s">
        <v>41</v>
      </c>
      <c r="D24" t="s">
        <v>18</v>
      </c>
      <c r="E24">
        <v>0</v>
      </c>
      <c r="F24">
        <v>24</v>
      </c>
      <c r="G24">
        <v>0</v>
      </c>
      <c r="H24">
        <v>0</v>
      </c>
      <c r="I24">
        <v>0</v>
      </c>
      <c r="J24">
        <v>0</v>
      </c>
      <c r="K24">
        <f t="shared" si="0"/>
        <v>24</v>
      </c>
      <c r="L24">
        <v>0</v>
      </c>
      <c r="M24" t="str">
        <f>IF(L24=0,"",IF(#REF!&gt;0,"CONTRATISTA",IF(#REF!&gt;0,"CLIENTE","SIN_INFO")))</f>
        <v/>
      </c>
      <c r="N24" s="4"/>
    </row>
    <row r="25" spans="1:14" hidden="1">
      <c r="A25" s="2">
        <v>46175</v>
      </c>
      <c r="B25" t="s">
        <v>40</v>
      </c>
      <c r="C25" t="s">
        <v>42</v>
      </c>
      <c r="D25" t="s">
        <v>19</v>
      </c>
      <c r="E25">
        <v>24</v>
      </c>
      <c r="F25">
        <v>0</v>
      </c>
      <c r="G25">
        <v>8744</v>
      </c>
      <c r="H25">
        <v>0</v>
      </c>
      <c r="I25">
        <v>0</v>
      </c>
      <c r="J25">
        <v>0</v>
      </c>
      <c r="K25">
        <f t="shared" si="0"/>
        <v>24</v>
      </c>
      <c r="L25">
        <v>0</v>
      </c>
      <c r="M25" t="str">
        <f>IF(L25=0,"",IF(#REF!&gt;0,"CONTRATISTA",IF(#REF!&gt;0,"CLIENTE","SIN_INFO")))</f>
        <v/>
      </c>
      <c r="N25" s="4"/>
    </row>
    <row r="26" spans="1:14" hidden="1">
      <c r="A26" s="2">
        <v>46175</v>
      </c>
      <c r="B26" t="s">
        <v>40</v>
      </c>
      <c r="C26" t="s">
        <v>42</v>
      </c>
      <c r="D26" t="s">
        <v>20</v>
      </c>
      <c r="E26">
        <v>24</v>
      </c>
      <c r="F26">
        <v>0</v>
      </c>
      <c r="G26">
        <v>9028</v>
      </c>
      <c r="H26">
        <v>0</v>
      </c>
      <c r="I26">
        <v>0</v>
      </c>
      <c r="J26">
        <v>0</v>
      </c>
      <c r="K26">
        <f t="shared" si="0"/>
        <v>24</v>
      </c>
      <c r="L26">
        <v>0</v>
      </c>
      <c r="M26" t="str">
        <f>IF(L26=0,"",IF(#REF!&gt;0,"CONTRATISTA",IF(#REF!&gt;0,"CLIENTE","SIN_INFO")))</f>
        <v/>
      </c>
      <c r="N26" s="4"/>
    </row>
    <row r="27" spans="1:14" hidden="1">
      <c r="A27" s="2">
        <v>46175</v>
      </c>
      <c r="B27" t="s">
        <v>40</v>
      </c>
      <c r="C27" t="s">
        <v>41</v>
      </c>
      <c r="D27" t="s">
        <v>21</v>
      </c>
      <c r="E27">
        <v>21</v>
      </c>
      <c r="F27">
        <v>3</v>
      </c>
      <c r="G27">
        <v>8375</v>
      </c>
      <c r="H27">
        <v>0</v>
      </c>
      <c r="I27">
        <v>0</v>
      </c>
      <c r="J27">
        <v>0</v>
      </c>
      <c r="K27">
        <f t="shared" si="0"/>
        <v>24</v>
      </c>
      <c r="L27">
        <v>0</v>
      </c>
      <c r="M27" t="str">
        <f>IF(L27=0,"",IF(#REF!&gt;0,"CONTRATISTA",IF(#REF!&gt;0,"CLIENTE","SIN_INFO")))</f>
        <v/>
      </c>
      <c r="N27" s="4" t="s">
        <v>48</v>
      </c>
    </row>
    <row r="28" spans="1:14" hidden="1">
      <c r="A28" s="2">
        <v>46176</v>
      </c>
      <c r="B28" t="s">
        <v>40</v>
      </c>
      <c r="C28" t="s">
        <v>41</v>
      </c>
      <c r="D28" t="s">
        <v>9</v>
      </c>
      <c r="E28">
        <v>0</v>
      </c>
      <c r="F28">
        <v>0</v>
      </c>
      <c r="G28">
        <v>0</v>
      </c>
      <c r="H28">
        <v>0</v>
      </c>
      <c r="I28">
        <v>0</v>
      </c>
      <c r="J28">
        <v>24</v>
      </c>
      <c r="K28">
        <f t="shared" si="0"/>
        <v>24</v>
      </c>
      <c r="L28">
        <v>0</v>
      </c>
      <c r="M28" t="str">
        <f>IF(L28=0,"",IF(#REF!&gt;0,"CONTRATISTA",IF(#REF!&gt;0,"CLIENTE","SIN_INFO")))</f>
        <v/>
      </c>
      <c r="N28" s="4" t="s">
        <v>49</v>
      </c>
    </row>
    <row r="29" spans="1:14" hidden="1">
      <c r="A29" s="2">
        <v>46176</v>
      </c>
      <c r="B29" t="s">
        <v>40</v>
      </c>
      <c r="C29" t="s">
        <v>41</v>
      </c>
      <c r="D29" t="s">
        <v>10</v>
      </c>
      <c r="E29">
        <v>24</v>
      </c>
      <c r="F29">
        <v>0</v>
      </c>
      <c r="G29">
        <v>14887</v>
      </c>
      <c r="H29">
        <v>0</v>
      </c>
      <c r="I29">
        <v>0</v>
      </c>
      <c r="J29">
        <v>0</v>
      </c>
      <c r="K29">
        <f t="shared" si="0"/>
        <v>24</v>
      </c>
      <c r="L29">
        <v>0</v>
      </c>
      <c r="M29" t="str">
        <f>IF(L29=0,"",IF(#REF!&gt;0,"CONTRATISTA",IF(#REF!&gt;0,"CLIENTE","SIN_INFO")))</f>
        <v/>
      </c>
      <c r="N29" s="4"/>
    </row>
    <row r="30" spans="1:14" hidden="1">
      <c r="A30" s="2">
        <v>46176</v>
      </c>
      <c r="B30" t="s">
        <v>40</v>
      </c>
      <c r="C30" t="s">
        <v>41</v>
      </c>
      <c r="D30" t="s">
        <v>11</v>
      </c>
      <c r="E30">
        <v>24</v>
      </c>
      <c r="F30">
        <v>0</v>
      </c>
      <c r="G30">
        <v>15054</v>
      </c>
      <c r="H30">
        <v>0</v>
      </c>
      <c r="I30">
        <v>0</v>
      </c>
      <c r="J30">
        <v>0</v>
      </c>
      <c r="K30">
        <f t="shared" si="0"/>
        <v>24</v>
      </c>
      <c r="L30">
        <v>0</v>
      </c>
      <c r="M30" t="str">
        <f>IF(L30=0,"",IF(#REF!&gt;0,"CONTRATISTA",IF(#REF!&gt;0,"CLIENTE","SIN_INFO")))</f>
        <v/>
      </c>
      <c r="N30" s="4" t="s">
        <v>50</v>
      </c>
    </row>
    <row r="31" spans="1:14" hidden="1">
      <c r="A31" s="2">
        <v>46176</v>
      </c>
      <c r="B31" t="s">
        <v>40</v>
      </c>
      <c r="C31" t="s">
        <v>41</v>
      </c>
      <c r="D31" t="s">
        <v>12</v>
      </c>
      <c r="E31">
        <v>23</v>
      </c>
      <c r="F31">
        <v>1</v>
      </c>
      <c r="G31">
        <v>20135</v>
      </c>
      <c r="H31">
        <v>0</v>
      </c>
      <c r="I31">
        <v>0</v>
      </c>
      <c r="J31">
        <v>0</v>
      </c>
      <c r="K31">
        <f t="shared" si="0"/>
        <v>24</v>
      </c>
      <c r="L31">
        <v>0</v>
      </c>
      <c r="M31" t="str">
        <f>IF(L31=0,"",IF(#REF!&gt;0,"CONTRATISTA",IF(#REF!&gt;0,"CLIENTE","SIN_INFO")))</f>
        <v/>
      </c>
      <c r="N31" s="4" t="s">
        <v>50</v>
      </c>
    </row>
    <row r="32" spans="1:14" hidden="1">
      <c r="A32" s="2">
        <v>46176</v>
      </c>
      <c r="B32" t="s">
        <v>40</v>
      </c>
      <c r="C32" t="s">
        <v>41</v>
      </c>
      <c r="D32" t="s">
        <v>13</v>
      </c>
      <c r="E32">
        <v>23</v>
      </c>
      <c r="F32">
        <v>1</v>
      </c>
      <c r="G32">
        <v>20457</v>
      </c>
      <c r="H32">
        <v>0</v>
      </c>
      <c r="I32">
        <v>0</v>
      </c>
      <c r="J32">
        <v>0</v>
      </c>
      <c r="K32">
        <f t="shared" si="0"/>
        <v>24</v>
      </c>
      <c r="L32">
        <v>0</v>
      </c>
      <c r="M32" t="str">
        <f>IF(L32=0,"",IF(#REF!&gt;0,"CONTRATISTA",IF(#REF!&gt;0,"CLIENTE","SIN_INFO")))</f>
        <v/>
      </c>
      <c r="N32" s="3" t="s">
        <v>50</v>
      </c>
    </row>
    <row r="33" spans="1:14">
      <c r="A33" s="2">
        <v>46176</v>
      </c>
      <c r="B33" t="s">
        <v>40</v>
      </c>
      <c r="C33" t="s">
        <v>41</v>
      </c>
      <c r="D33" t="s">
        <v>14</v>
      </c>
      <c r="E33">
        <v>14</v>
      </c>
      <c r="F33">
        <v>6</v>
      </c>
      <c r="G33">
        <v>11795</v>
      </c>
      <c r="H33">
        <v>0</v>
      </c>
      <c r="I33">
        <v>4</v>
      </c>
      <c r="J33">
        <v>0</v>
      </c>
      <c r="K33">
        <f t="shared" si="0"/>
        <v>24</v>
      </c>
      <c r="L33">
        <v>1</v>
      </c>
      <c r="M33" t="e">
        <f>IF(L33=0,"",IF(#REF!&gt;0,"CONTRATISTA",IF(#REF!&gt;0,"CLIENTE","SIN_INFO")))</f>
        <v>#REF!</v>
      </c>
      <c r="N33" s="3" t="s">
        <v>51</v>
      </c>
    </row>
    <row r="34" spans="1:14" hidden="1">
      <c r="A34" s="2">
        <v>46176</v>
      </c>
      <c r="B34" t="s">
        <v>40</v>
      </c>
      <c r="C34" t="s">
        <v>41</v>
      </c>
      <c r="D34" t="s">
        <v>15</v>
      </c>
      <c r="E34">
        <v>18</v>
      </c>
      <c r="F34">
        <v>6</v>
      </c>
      <c r="G34">
        <v>12960</v>
      </c>
      <c r="H34">
        <v>0</v>
      </c>
      <c r="I34">
        <v>0</v>
      </c>
      <c r="J34">
        <v>0</v>
      </c>
      <c r="K34">
        <f t="shared" si="0"/>
        <v>24</v>
      </c>
      <c r="L34">
        <v>0</v>
      </c>
      <c r="M34" t="str">
        <f>IF(L34=0,"",IF(#REF!&gt;0,"CONTRATISTA",IF(#REF!&gt;0,"CLIENTE","SIN_INFO")))</f>
        <v/>
      </c>
      <c r="N34" s="3" t="s">
        <v>52</v>
      </c>
    </row>
    <row r="35" spans="1:14" hidden="1">
      <c r="A35" s="2">
        <v>46176</v>
      </c>
      <c r="B35" t="s">
        <v>40</v>
      </c>
      <c r="C35" t="s">
        <v>41</v>
      </c>
      <c r="D35" t="s">
        <v>16</v>
      </c>
      <c r="E35">
        <v>0</v>
      </c>
      <c r="F35">
        <v>24</v>
      </c>
      <c r="G35">
        <v>0</v>
      </c>
      <c r="H35">
        <v>0</v>
      </c>
      <c r="I35">
        <v>0</v>
      </c>
      <c r="J35">
        <v>0</v>
      </c>
      <c r="K35">
        <f t="shared" si="0"/>
        <v>24</v>
      </c>
      <c r="L35">
        <v>0</v>
      </c>
      <c r="M35" t="str">
        <f>IF(L35=0,"",IF(#REF!&gt;0,"CONTRATISTA",IF(#REF!&gt;0,"CLIENTE","SIN_INFO")))</f>
        <v/>
      </c>
      <c r="N35" s="4"/>
    </row>
    <row r="36" spans="1:14" hidden="1">
      <c r="A36" s="2">
        <v>46176</v>
      </c>
      <c r="B36" t="s">
        <v>40</v>
      </c>
      <c r="C36" t="s">
        <v>41</v>
      </c>
      <c r="D36" t="s">
        <v>17</v>
      </c>
      <c r="E36">
        <v>8</v>
      </c>
      <c r="F36">
        <v>16</v>
      </c>
      <c r="G36">
        <v>5459</v>
      </c>
      <c r="H36">
        <v>0</v>
      </c>
      <c r="I36">
        <v>0</v>
      </c>
      <c r="J36">
        <v>0</v>
      </c>
      <c r="K36">
        <f t="shared" si="0"/>
        <v>24</v>
      </c>
      <c r="L36">
        <v>0</v>
      </c>
      <c r="M36" t="str">
        <f>IF(L36=0,"",IF(#REF!&gt;0,"CONTRATISTA",IF(#REF!&gt;0,"CLIENTE","SIN_INFO")))</f>
        <v/>
      </c>
      <c r="N36" s="4" t="s">
        <v>53</v>
      </c>
    </row>
    <row r="37" spans="1:14" hidden="1">
      <c r="A37" s="2">
        <v>46176</v>
      </c>
      <c r="B37" t="s">
        <v>40</v>
      </c>
      <c r="C37" t="s">
        <v>41</v>
      </c>
      <c r="D37" t="s">
        <v>18</v>
      </c>
      <c r="E37">
        <v>0</v>
      </c>
      <c r="F37">
        <v>24</v>
      </c>
      <c r="G37">
        <v>0</v>
      </c>
      <c r="H37">
        <v>0</v>
      </c>
      <c r="I37">
        <v>0</v>
      </c>
      <c r="J37">
        <v>0</v>
      </c>
      <c r="K37">
        <f t="shared" si="0"/>
        <v>24</v>
      </c>
      <c r="L37">
        <v>0</v>
      </c>
      <c r="M37" t="str">
        <f>IF(L37=0,"",IF(#REF!&gt;0,"CONTRATISTA",IF(#REF!&gt;0,"CLIENTE","SIN_INFO")))</f>
        <v/>
      </c>
      <c r="N37" s="4"/>
    </row>
    <row r="38" spans="1:14" hidden="1">
      <c r="A38" s="2">
        <v>46176</v>
      </c>
      <c r="B38" t="s">
        <v>40</v>
      </c>
      <c r="C38" t="s">
        <v>42</v>
      </c>
      <c r="D38" t="s">
        <v>19</v>
      </c>
      <c r="E38">
        <v>18</v>
      </c>
      <c r="F38">
        <v>0</v>
      </c>
      <c r="G38">
        <v>6453</v>
      </c>
      <c r="H38">
        <v>6</v>
      </c>
      <c r="I38">
        <v>0</v>
      </c>
      <c r="J38">
        <v>0</v>
      </c>
      <c r="K38">
        <f t="shared" si="0"/>
        <v>24</v>
      </c>
      <c r="L38">
        <v>0</v>
      </c>
      <c r="M38" t="str">
        <f>IF(L38=0,"",IF(#REF!&gt;0,"CONTRATISTA",IF(#REF!&gt;0,"CLIENTE","SIN_INFO")))</f>
        <v/>
      </c>
      <c r="N38" s="4" t="s">
        <v>54</v>
      </c>
    </row>
    <row r="39" spans="1:14" hidden="1">
      <c r="A39" s="2">
        <v>46176</v>
      </c>
      <c r="B39" t="s">
        <v>40</v>
      </c>
      <c r="C39" t="s">
        <v>42</v>
      </c>
      <c r="D39" t="s">
        <v>20</v>
      </c>
      <c r="E39">
        <v>24</v>
      </c>
      <c r="F39">
        <v>0</v>
      </c>
      <c r="G39">
        <v>8945</v>
      </c>
      <c r="H39">
        <v>0</v>
      </c>
      <c r="I39">
        <v>0</v>
      </c>
      <c r="J39">
        <v>0</v>
      </c>
      <c r="K39">
        <f t="shared" si="0"/>
        <v>24</v>
      </c>
      <c r="L39">
        <v>0</v>
      </c>
      <c r="M39" t="str">
        <f>IF(L39=0,"",IF(#REF!&gt;0,"CONTRATISTA",IF(#REF!&gt;0,"CLIENTE","SIN_INFO")))</f>
        <v/>
      </c>
      <c r="N39" s="4"/>
    </row>
    <row r="40" spans="1:14" hidden="1">
      <c r="A40" s="2">
        <v>46176</v>
      </c>
      <c r="B40" t="s">
        <v>40</v>
      </c>
      <c r="C40" t="s">
        <v>41</v>
      </c>
      <c r="D40" t="s">
        <v>21</v>
      </c>
      <c r="E40" s="5">
        <v>12</v>
      </c>
      <c r="F40">
        <v>12</v>
      </c>
      <c r="G40">
        <v>4368</v>
      </c>
      <c r="H40">
        <v>0</v>
      </c>
      <c r="I40" s="5">
        <v>0</v>
      </c>
      <c r="J40">
        <v>0</v>
      </c>
      <c r="K40">
        <f t="shared" si="0"/>
        <v>24</v>
      </c>
      <c r="L40">
        <v>0</v>
      </c>
      <c r="M40" t="str">
        <f>IF(L40=0,"",IF(#REF!&gt;0,"CONTRATISTA",IF(#REF!&gt;0,"CLIENTE","SIN_INFO")))</f>
        <v/>
      </c>
      <c r="N40" s="4" t="s">
        <v>55</v>
      </c>
    </row>
    <row r="41" spans="1:14" hidden="1">
      <c r="A41" s="2">
        <v>46177</v>
      </c>
      <c r="B41" t="s">
        <v>40</v>
      </c>
      <c r="C41" t="s">
        <v>41</v>
      </c>
      <c r="D41" t="s">
        <v>9</v>
      </c>
      <c r="E41">
        <v>1</v>
      </c>
      <c r="F41">
        <v>0</v>
      </c>
      <c r="G41">
        <v>838</v>
      </c>
      <c r="H41">
        <v>0</v>
      </c>
      <c r="I41">
        <v>0</v>
      </c>
      <c r="J41">
        <v>23</v>
      </c>
      <c r="K41">
        <f t="shared" si="0"/>
        <v>24</v>
      </c>
      <c r="L41">
        <v>0</v>
      </c>
      <c r="M41" t="str">
        <f>IF(L41=0,"",IF(#REF!&gt;0,"CONTRATISTA",IF(#REF!&gt;0,"CLIENTE","SIN_INFO")))</f>
        <v/>
      </c>
      <c r="N41" s="4" t="s">
        <v>56</v>
      </c>
    </row>
    <row r="42" spans="1:14" hidden="1">
      <c r="A42" s="2">
        <v>46177</v>
      </c>
      <c r="B42" t="s">
        <v>40</v>
      </c>
      <c r="C42" t="s">
        <v>41</v>
      </c>
      <c r="D42" t="s">
        <v>10</v>
      </c>
      <c r="E42">
        <v>24</v>
      </c>
      <c r="F42">
        <v>0</v>
      </c>
      <c r="G42">
        <v>15337</v>
      </c>
      <c r="H42">
        <v>0</v>
      </c>
      <c r="I42">
        <v>0</v>
      </c>
      <c r="J42">
        <v>0</v>
      </c>
      <c r="K42">
        <f t="shared" si="0"/>
        <v>24</v>
      </c>
      <c r="L42">
        <v>0</v>
      </c>
      <c r="M42" t="str">
        <f>IF(L42=0,"",IF(#REF!&gt;0,"CONTRATISTA",IF(#REF!&gt;0,"CLIENTE","SIN_INFO")))</f>
        <v/>
      </c>
      <c r="N42" s="4"/>
    </row>
    <row r="43" spans="1:14" hidden="1">
      <c r="A43" s="2">
        <v>46177</v>
      </c>
      <c r="B43" t="s">
        <v>40</v>
      </c>
      <c r="C43" t="s">
        <v>41</v>
      </c>
      <c r="D43" t="s">
        <v>11</v>
      </c>
      <c r="E43">
        <v>24</v>
      </c>
      <c r="F43">
        <v>0</v>
      </c>
      <c r="G43">
        <v>16264</v>
      </c>
      <c r="H43">
        <v>0</v>
      </c>
      <c r="I43">
        <v>0</v>
      </c>
      <c r="J43">
        <v>0</v>
      </c>
      <c r="K43">
        <f t="shared" si="0"/>
        <v>24</v>
      </c>
      <c r="L43">
        <v>0</v>
      </c>
      <c r="M43" t="str">
        <f>IF(L43=0,"",IF(#REF!&gt;0,"CONTRATISTA",IF(#REF!&gt;0,"CLIENTE","SIN_INFO")))</f>
        <v/>
      </c>
      <c r="N43" s="4"/>
    </row>
    <row r="44" spans="1:14" hidden="1">
      <c r="A44" s="2">
        <v>46177</v>
      </c>
      <c r="B44" t="s">
        <v>40</v>
      </c>
      <c r="C44" t="s">
        <v>41</v>
      </c>
      <c r="D44" t="s">
        <v>12</v>
      </c>
      <c r="E44">
        <v>24</v>
      </c>
      <c r="F44">
        <v>0</v>
      </c>
      <c r="G44">
        <v>22379</v>
      </c>
      <c r="H44">
        <v>0</v>
      </c>
      <c r="I44">
        <v>0</v>
      </c>
      <c r="J44">
        <v>0</v>
      </c>
      <c r="K44">
        <f t="shared" si="0"/>
        <v>24</v>
      </c>
      <c r="L44">
        <v>0</v>
      </c>
      <c r="M44" t="str">
        <f>IF(L44=0,"",IF(#REF!&gt;0,"CONTRATISTA",IF(#REF!&gt;0,"CLIENTE","SIN_INFO")))</f>
        <v/>
      </c>
      <c r="N44" s="4"/>
    </row>
    <row r="45" spans="1:14" hidden="1">
      <c r="A45" s="2">
        <v>46177</v>
      </c>
      <c r="B45" t="s">
        <v>40</v>
      </c>
      <c r="C45" t="s">
        <v>41</v>
      </c>
      <c r="D45" t="s">
        <v>13</v>
      </c>
      <c r="E45">
        <v>24</v>
      </c>
      <c r="F45">
        <v>0</v>
      </c>
      <c r="G45">
        <v>21687</v>
      </c>
      <c r="H45">
        <v>0</v>
      </c>
      <c r="I45">
        <v>0</v>
      </c>
      <c r="J45">
        <v>0</v>
      </c>
      <c r="K45">
        <f t="shared" si="0"/>
        <v>24</v>
      </c>
      <c r="L45">
        <v>0</v>
      </c>
      <c r="M45" t="str">
        <f>IF(L45=0,"",IF(#REF!&gt;0,"CONTRATISTA",IF(#REF!&gt;0,"CLIENTE","SIN_INFO")))</f>
        <v/>
      </c>
      <c r="N45" s="4"/>
    </row>
    <row r="46" spans="1:14" hidden="1">
      <c r="A46" s="2">
        <v>46177</v>
      </c>
      <c r="B46" t="s">
        <v>40</v>
      </c>
      <c r="C46" t="s">
        <v>41</v>
      </c>
      <c r="D46" t="s">
        <v>14</v>
      </c>
      <c r="E46">
        <v>24</v>
      </c>
      <c r="F46">
        <v>0</v>
      </c>
      <c r="G46">
        <v>22104</v>
      </c>
      <c r="H46">
        <v>0</v>
      </c>
      <c r="I46">
        <v>0</v>
      </c>
      <c r="J46">
        <v>0</v>
      </c>
      <c r="K46">
        <f t="shared" si="0"/>
        <v>24</v>
      </c>
      <c r="L46">
        <v>0</v>
      </c>
      <c r="M46" t="str">
        <f>IF(L46=0,"",IF(#REF!&gt;0,"CONTRATISTA",IF(#REF!&gt;0,"CLIENTE","SIN_INFO")))</f>
        <v/>
      </c>
      <c r="N46" s="4"/>
    </row>
    <row r="47" spans="1:14" hidden="1">
      <c r="A47" s="2">
        <v>46177</v>
      </c>
      <c r="B47" t="s">
        <v>40</v>
      </c>
      <c r="C47" t="s">
        <v>41</v>
      </c>
      <c r="D47" t="s">
        <v>15</v>
      </c>
      <c r="E47">
        <v>24</v>
      </c>
      <c r="F47">
        <v>0</v>
      </c>
      <c r="G47">
        <v>17184</v>
      </c>
      <c r="H47">
        <v>0</v>
      </c>
      <c r="I47">
        <v>0</v>
      </c>
      <c r="J47">
        <v>0</v>
      </c>
      <c r="K47">
        <f t="shared" si="0"/>
        <v>24</v>
      </c>
      <c r="L47">
        <v>0</v>
      </c>
      <c r="M47" t="str">
        <f>IF(L47=0,"",IF(#REF!&gt;0,"CONTRATISTA",IF(#REF!&gt;0,"CLIENTE","SIN_INFO")))</f>
        <v/>
      </c>
      <c r="N47" s="4"/>
    </row>
    <row r="48" spans="1:14" hidden="1">
      <c r="A48" s="2">
        <v>46177</v>
      </c>
      <c r="B48" t="s">
        <v>40</v>
      </c>
      <c r="C48" t="s">
        <v>41</v>
      </c>
      <c r="D48" t="s">
        <v>16</v>
      </c>
      <c r="E48">
        <v>4</v>
      </c>
      <c r="F48">
        <v>20</v>
      </c>
      <c r="G48">
        <v>1520</v>
      </c>
      <c r="H48">
        <v>0</v>
      </c>
      <c r="I48">
        <v>0</v>
      </c>
      <c r="J48">
        <v>0</v>
      </c>
      <c r="K48">
        <f t="shared" si="0"/>
        <v>24</v>
      </c>
      <c r="L48">
        <v>0</v>
      </c>
      <c r="M48" t="str">
        <f>IF(L48=0,"",IF(#REF!&gt;0,"CONTRATISTA",IF(#REF!&gt;0,"CLIENTE","SIN_INFO")))</f>
        <v/>
      </c>
      <c r="N48" s="3" t="s">
        <v>57</v>
      </c>
    </row>
    <row r="49" spans="1:14" hidden="1">
      <c r="A49" s="2">
        <v>46177</v>
      </c>
      <c r="B49" t="s">
        <v>40</v>
      </c>
      <c r="C49" t="s">
        <v>41</v>
      </c>
      <c r="D49" t="s">
        <v>17</v>
      </c>
      <c r="E49">
        <v>0</v>
      </c>
      <c r="F49">
        <v>24</v>
      </c>
      <c r="G49">
        <v>0</v>
      </c>
      <c r="H49">
        <v>0</v>
      </c>
      <c r="I49">
        <v>0</v>
      </c>
      <c r="J49">
        <v>0</v>
      </c>
      <c r="K49">
        <f t="shared" si="0"/>
        <v>24</v>
      </c>
      <c r="L49">
        <v>0</v>
      </c>
      <c r="M49" t="str">
        <f>IF(L49=0,"",IF(#REF!&gt;0,"CONTRATISTA",IF(#REF!&gt;0,"CLIENTE","SIN_INFO")))</f>
        <v/>
      </c>
      <c r="N49" s="3"/>
    </row>
    <row r="50" spans="1:14" hidden="1">
      <c r="A50" s="2">
        <v>46177</v>
      </c>
      <c r="B50" t="s">
        <v>40</v>
      </c>
      <c r="C50" t="s">
        <v>41</v>
      </c>
      <c r="D50" t="s">
        <v>18</v>
      </c>
      <c r="E50">
        <v>0</v>
      </c>
      <c r="F50">
        <v>24</v>
      </c>
      <c r="G50">
        <v>0</v>
      </c>
      <c r="H50">
        <v>0</v>
      </c>
      <c r="I50">
        <v>0</v>
      </c>
      <c r="J50">
        <v>0</v>
      </c>
      <c r="K50">
        <f t="shared" si="0"/>
        <v>24</v>
      </c>
      <c r="L50">
        <v>0</v>
      </c>
      <c r="M50" t="str">
        <f>IF(L50=0,"",IF(#REF!&gt;0,"CONTRATISTA",IF(#REF!&gt;0,"CLIENTE","SIN_INFO")))</f>
        <v/>
      </c>
      <c r="N50" s="3"/>
    </row>
    <row r="51" spans="1:14" hidden="1">
      <c r="A51" s="2">
        <v>46177</v>
      </c>
      <c r="B51" t="s">
        <v>40</v>
      </c>
      <c r="C51" t="s">
        <v>42</v>
      </c>
      <c r="D51" t="s">
        <v>19</v>
      </c>
      <c r="E51">
        <v>24</v>
      </c>
      <c r="F51">
        <v>0</v>
      </c>
      <c r="G51">
        <v>8004</v>
      </c>
      <c r="H51">
        <v>0</v>
      </c>
      <c r="I51">
        <v>0</v>
      </c>
      <c r="J51">
        <v>0</v>
      </c>
      <c r="K51">
        <f t="shared" si="0"/>
        <v>24</v>
      </c>
      <c r="L51">
        <v>0</v>
      </c>
      <c r="M51" t="str">
        <f>IF(L51=0,"",IF(#REF!&gt;0,"CONTRATISTA",IF(#REF!&gt;0,"CLIENTE","SIN_INFO")))</f>
        <v/>
      </c>
      <c r="N51" s="4"/>
    </row>
    <row r="52" spans="1:14" hidden="1">
      <c r="A52" s="2">
        <v>46177</v>
      </c>
      <c r="B52" t="s">
        <v>40</v>
      </c>
      <c r="C52" t="s">
        <v>42</v>
      </c>
      <c r="D52" t="s">
        <v>20</v>
      </c>
      <c r="E52">
        <v>24</v>
      </c>
      <c r="F52">
        <v>0</v>
      </c>
      <c r="G52">
        <v>8108</v>
      </c>
      <c r="H52">
        <v>0</v>
      </c>
      <c r="I52">
        <v>0</v>
      </c>
      <c r="J52">
        <v>0</v>
      </c>
      <c r="K52">
        <f t="shared" si="0"/>
        <v>24</v>
      </c>
      <c r="L52">
        <v>0</v>
      </c>
      <c r="M52" t="str">
        <f>IF(L52=0,"",IF(#REF!&gt;0,"CONTRATISTA",IF(#REF!&gt;0,"CLIENTE","SIN_INFO")))</f>
        <v/>
      </c>
      <c r="N52" s="4"/>
    </row>
    <row r="53" spans="1:14" hidden="1">
      <c r="A53" s="2">
        <v>46177</v>
      </c>
      <c r="B53" t="s">
        <v>40</v>
      </c>
      <c r="C53" t="s">
        <v>41</v>
      </c>
      <c r="D53" t="s">
        <v>21</v>
      </c>
      <c r="E53" s="5">
        <v>21</v>
      </c>
      <c r="F53">
        <v>3</v>
      </c>
      <c r="G53">
        <v>7097</v>
      </c>
      <c r="H53">
        <v>0</v>
      </c>
      <c r="I53" s="5">
        <v>0</v>
      </c>
      <c r="J53">
        <v>0</v>
      </c>
      <c r="K53">
        <f t="shared" si="0"/>
        <v>24</v>
      </c>
      <c r="L53">
        <v>0</v>
      </c>
      <c r="M53" t="str">
        <f>IF(L53=0,"",IF(#REF!&gt;0,"CONTRATISTA",IF(#REF!&gt;0,"CLIENTE","SIN_INFO")))</f>
        <v/>
      </c>
      <c r="N53" s="4" t="s">
        <v>58</v>
      </c>
    </row>
    <row r="54" spans="1:14">
      <c r="A54" s="2">
        <v>46178</v>
      </c>
      <c r="B54" t="s">
        <v>40</v>
      </c>
      <c r="C54" t="s">
        <v>41</v>
      </c>
      <c r="D54" t="s">
        <v>9</v>
      </c>
      <c r="E54">
        <v>22</v>
      </c>
      <c r="F54">
        <v>0</v>
      </c>
      <c r="G54">
        <v>13211</v>
      </c>
      <c r="H54">
        <v>0</v>
      </c>
      <c r="I54">
        <v>2</v>
      </c>
      <c r="J54">
        <v>0</v>
      </c>
      <c r="K54">
        <f t="shared" si="0"/>
        <v>24</v>
      </c>
      <c r="L54">
        <v>1</v>
      </c>
      <c r="M54" t="e">
        <f>IF(L54=0,"",IF(#REF!&gt;0,"CONTRATISTA",IF(#REF!&gt;0,"CLIENTE","SIN_INFO")))</f>
        <v>#REF!</v>
      </c>
      <c r="N54" s="4" t="s">
        <v>59</v>
      </c>
    </row>
    <row r="55" spans="1:14" hidden="1">
      <c r="A55" s="2">
        <v>46178</v>
      </c>
      <c r="B55" t="s">
        <v>40</v>
      </c>
      <c r="C55" t="s">
        <v>41</v>
      </c>
      <c r="D55" t="s">
        <v>10</v>
      </c>
      <c r="E55">
        <v>24</v>
      </c>
      <c r="F55">
        <v>0</v>
      </c>
      <c r="G55">
        <v>14300</v>
      </c>
      <c r="H55">
        <v>0</v>
      </c>
      <c r="I55">
        <v>0</v>
      </c>
      <c r="J55">
        <v>0</v>
      </c>
      <c r="K55">
        <f t="shared" si="0"/>
        <v>24</v>
      </c>
      <c r="L55">
        <v>0</v>
      </c>
      <c r="M55" t="str">
        <f>IF(L55=0,"",IF(#REF!&gt;0,"CONTRATISTA",IF(#REF!&gt;0,"CLIENTE","SIN_INFO")))</f>
        <v/>
      </c>
      <c r="N55" s="4"/>
    </row>
    <row r="56" spans="1:14" hidden="1">
      <c r="A56" s="2">
        <v>46178</v>
      </c>
      <c r="B56" t="s">
        <v>40</v>
      </c>
      <c r="C56" t="s">
        <v>41</v>
      </c>
      <c r="D56" t="s">
        <v>11</v>
      </c>
      <c r="E56">
        <v>24</v>
      </c>
      <c r="F56">
        <v>0</v>
      </c>
      <c r="G56">
        <v>15718</v>
      </c>
      <c r="H56">
        <v>0</v>
      </c>
      <c r="I56">
        <v>0</v>
      </c>
      <c r="J56">
        <v>0</v>
      </c>
      <c r="K56">
        <f t="shared" si="0"/>
        <v>24</v>
      </c>
      <c r="L56">
        <v>0</v>
      </c>
      <c r="M56" t="str">
        <f>IF(L56=0,"",IF(#REF!&gt;0,"CONTRATISTA",IF(#REF!&gt;0,"CLIENTE","SIN_INFO")))</f>
        <v/>
      </c>
      <c r="N56" s="4"/>
    </row>
    <row r="57" spans="1:14" hidden="1">
      <c r="A57" s="2">
        <v>46178</v>
      </c>
      <c r="B57" t="s">
        <v>40</v>
      </c>
      <c r="C57" t="s">
        <v>41</v>
      </c>
      <c r="D57" t="s">
        <v>12</v>
      </c>
      <c r="E57">
        <v>24</v>
      </c>
      <c r="F57">
        <v>0</v>
      </c>
      <c r="G57">
        <v>20746</v>
      </c>
      <c r="H57">
        <v>0</v>
      </c>
      <c r="I57">
        <v>0</v>
      </c>
      <c r="J57">
        <v>0</v>
      </c>
      <c r="K57">
        <f t="shared" si="0"/>
        <v>24</v>
      </c>
      <c r="L57">
        <v>0</v>
      </c>
      <c r="M57" t="str">
        <f>IF(L57=0,"",IF(#REF!&gt;0,"CONTRATISTA",IF(#REF!&gt;0,"CLIENTE","SIN_INFO")))</f>
        <v/>
      </c>
      <c r="N57" s="4"/>
    </row>
    <row r="58" spans="1:14" hidden="1">
      <c r="A58" s="2">
        <v>46178</v>
      </c>
      <c r="B58" t="s">
        <v>40</v>
      </c>
      <c r="C58" t="s">
        <v>41</v>
      </c>
      <c r="D58" t="s">
        <v>13</v>
      </c>
      <c r="E58">
        <v>24</v>
      </c>
      <c r="F58">
        <v>0</v>
      </c>
      <c r="G58">
        <v>20917</v>
      </c>
      <c r="H58">
        <v>0</v>
      </c>
      <c r="I58">
        <v>0</v>
      </c>
      <c r="J58">
        <v>0</v>
      </c>
      <c r="K58">
        <f t="shared" si="0"/>
        <v>24</v>
      </c>
      <c r="L58">
        <v>0</v>
      </c>
      <c r="M58" t="str">
        <f>IF(L58=0,"",IF(#REF!&gt;0,"CONTRATISTA",IF(#REF!&gt;0,"CLIENTE","SIN_INFO")))</f>
        <v/>
      </c>
      <c r="N58" s="4"/>
    </row>
    <row r="59" spans="1:14" hidden="1">
      <c r="A59" s="2">
        <v>46178</v>
      </c>
      <c r="B59" t="s">
        <v>40</v>
      </c>
      <c r="C59" t="s">
        <v>41</v>
      </c>
      <c r="D59" t="s">
        <v>14</v>
      </c>
      <c r="E59">
        <v>24</v>
      </c>
      <c r="F59">
        <v>0</v>
      </c>
      <c r="G59">
        <v>22068</v>
      </c>
      <c r="H59">
        <v>0</v>
      </c>
      <c r="I59">
        <v>0</v>
      </c>
      <c r="J59">
        <v>0</v>
      </c>
      <c r="K59">
        <f t="shared" si="0"/>
        <v>24</v>
      </c>
      <c r="L59">
        <v>0</v>
      </c>
      <c r="M59" t="str">
        <f>IF(L59=0,"",IF(#REF!&gt;0,"CONTRATISTA",IF(#REF!&gt;0,"CLIENTE","SIN_INFO")))</f>
        <v/>
      </c>
      <c r="N59" s="4"/>
    </row>
    <row r="60" spans="1:14" hidden="1">
      <c r="A60" s="2">
        <v>46178</v>
      </c>
      <c r="B60" t="s">
        <v>40</v>
      </c>
      <c r="C60" t="s">
        <v>41</v>
      </c>
      <c r="D60" t="s">
        <v>15</v>
      </c>
      <c r="E60">
        <v>24</v>
      </c>
      <c r="F60">
        <v>0</v>
      </c>
      <c r="G60">
        <v>16591</v>
      </c>
      <c r="H60">
        <v>0</v>
      </c>
      <c r="I60">
        <v>0</v>
      </c>
      <c r="J60">
        <v>0</v>
      </c>
      <c r="K60">
        <f t="shared" si="0"/>
        <v>24</v>
      </c>
      <c r="L60">
        <v>0</v>
      </c>
      <c r="M60" t="str">
        <f>IF(L60=0,"",IF(#REF!&gt;0,"CONTRATISTA",IF(#REF!&gt;0,"CLIENTE","SIN_INFO")))</f>
        <v/>
      </c>
      <c r="N60" s="4"/>
    </row>
    <row r="61" spans="1:14" hidden="1">
      <c r="A61" s="2">
        <v>46178</v>
      </c>
      <c r="B61" t="s">
        <v>40</v>
      </c>
      <c r="C61" t="s">
        <v>41</v>
      </c>
      <c r="D61" t="s">
        <v>16</v>
      </c>
      <c r="E61">
        <v>3</v>
      </c>
      <c r="F61">
        <v>21</v>
      </c>
      <c r="G61">
        <v>489</v>
      </c>
      <c r="H61">
        <v>0</v>
      </c>
      <c r="I61">
        <v>0</v>
      </c>
      <c r="J61">
        <v>0</v>
      </c>
      <c r="K61">
        <f t="shared" si="0"/>
        <v>24</v>
      </c>
      <c r="L61">
        <v>0</v>
      </c>
      <c r="M61" t="str">
        <f>IF(L61=0,"",IF(#REF!&gt;0,"CONTRATISTA",IF(#REF!&gt;0,"CLIENTE","SIN_INFO")))</f>
        <v/>
      </c>
      <c r="N61" s="4"/>
    </row>
    <row r="62" spans="1:14" hidden="1">
      <c r="A62" s="2">
        <v>46178</v>
      </c>
      <c r="B62" t="s">
        <v>40</v>
      </c>
      <c r="C62" t="s">
        <v>41</v>
      </c>
      <c r="D62" t="s">
        <v>17</v>
      </c>
      <c r="E62">
        <v>0</v>
      </c>
      <c r="F62">
        <v>24</v>
      </c>
      <c r="G62">
        <v>0</v>
      </c>
      <c r="H62">
        <v>0</v>
      </c>
      <c r="I62">
        <v>0</v>
      </c>
      <c r="J62">
        <v>0</v>
      </c>
      <c r="K62">
        <f t="shared" si="0"/>
        <v>24</v>
      </c>
      <c r="L62">
        <v>0</v>
      </c>
      <c r="M62" t="str">
        <f>IF(L62=0,"",IF(#REF!&gt;0,"CONTRATISTA",IF(#REF!&gt;0,"CLIENTE","SIN_INFO")))</f>
        <v/>
      </c>
      <c r="N62" s="4"/>
    </row>
    <row r="63" spans="1:14" hidden="1">
      <c r="A63" s="2">
        <v>46178</v>
      </c>
      <c r="B63" t="s">
        <v>40</v>
      </c>
      <c r="C63" t="s">
        <v>41</v>
      </c>
      <c r="D63" t="s">
        <v>18</v>
      </c>
      <c r="E63">
        <v>0</v>
      </c>
      <c r="F63">
        <v>24</v>
      </c>
      <c r="G63">
        <v>0</v>
      </c>
      <c r="H63">
        <v>0</v>
      </c>
      <c r="I63">
        <v>0</v>
      </c>
      <c r="J63">
        <v>0</v>
      </c>
      <c r="K63">
        <f t="shared" si="0"/>
        <v>24</v>
      </c>
      <c r="L63">
        <v>0</v>
      </c>
      <c r="M63" t="str">
        <f>IF(L63=0,"",IF(#REF!&gt;0,"CONTRATISTA",IF(#REF!&gt;0,"CLIENTE","SIN_INFO")))</f>
        <v/>
      </c>
      <c r="N63" s="4"/>
    </row>
    <row r="64" spans="1:14" hidden="1">
      <c r="A64" s="2">
        <v>46178</v>
      </c>
      <c r="B64" t="s">
        <v>40</v>
      </c>
      <c r="C64" t="s">
        <v>42</v>
      </c>
      <c r="D64" t="s">
        <v>19</v>
      </c>
      <c r="E64">
        <v>24</v>
      </c>
      <c r="F64">
        <v>0</v>
      </c>
      <c r="G64">
        <v>7920</v>
      </c>
      <c r="H64">
        <v>0</v>
      </c>
      <c r="I64">
        <v>0</v>
      </c>
      <c r="J64">
        <v>0</v>
      </c>
      <c r="K64">
        <f t="shared" si="0"/>
        <v>24</v>
      </c>
      <c r="L64">
        <v>0</v>
      </c>
      <c r="M64" t="str">
        <f>IF(L64=0,"",IF(#REF!&gt;0,"CONTRATISTA",IF(#REF!&gt;0,"CLIENTE","SIN_INFO")))</f>
        <v/>
      </c>
      <c r="N64" s="3"/>
    </row>
    <row r="65" spans="1:14" hidden="1">
      <c r="A65" s="2">
        <v>46178</v>
      </c>
      <c r="B65" t="s">
        <v>40</v>
      </c>
      <c r="C65" t="s">
        <v>42</v>
      </c>
      <c r="D65" t="s">
        <v>20</v>
      </c>
      <c r="E65">
        <v>24</v>
      </c>
      <c r="F65">
        <v>0</v>
      </c>
      <c r="G65">
        <v>7958</v>
      </c>
      <c r="H65">
        <v>0</v>
      </c>
      <c r="I65">
        <v>0</v>
      </c>
      <c r="J65">
        <v>0</v>
      </c>
      <c r="K65">
        <f t="shared" si="0"/>
        <v>24</v>
      </c>
      <c r="L65">
        <v>0</v>
      </c>
      <c r="M65" t="str">
        <f>IF(L65=0,"",IF(#REF!&gt;0,"CONTRATISTA",IF(#REF!&gt;0,"CLIENTE","SIN_INFO")))</f>
        <v/>
      </c>
      <c r="N65" s="3"/>
    </row>
    <row r="66" spans="1:14" hidden="1">
      <c r="A66" s="2">
        <v>46178</v>
      </c>
      <c r="B66" t="s">
        <v>40</v>
      </c>
      <c r="C66" t="s">
        <v>41</v>
      </c>
      <c r="D66" t="s">
        <v>21</v>
      </c>
      <c r="E66">
        <v>17</v>
      </c>
      <c r="F66">
        <v>7</v>
      </c>
      <c r="G66">
        <v>6311</v>
      </c>
      <c r="H66">
        <v>0</v>
      </c>
      <c r="I66">
        <v>0</v>
      </c>
      <c r="J66">
        <v>0</v>
      </c>
      <c r="K66">
        <f t="shared" si="0"/>
        <v>24</v>
      </c>
      <c r="L66">
        <v>0</v>
      </c>
      <c r="M66" t="str">
        <f>IF(L66=0,"",IF(#REF!&gt;0,"CONTRATISTA",IF(#REF!&gt;0,"CLIENTE","SIN_INFO")))</f>
        <v/>
      </c>
      <c r="N66" s="3" t="s">
        <v>60</v>
      </c>
    </row>
    <row r="67" spans="1:14" hidden="1">
      <c r="A67" s="2">
        <v>46179</v>
      </c>
      <c r="B67" t="s">
        <v>40</v>
      </c>
      <c r="C67" t="s">
        <v>41</v>
      </c>
      <c r="D67" t="s">
        <v>9</v>
      </c>
      <c r="E67">
        <v>24</v>
      </c>
      <c r="F67">
        <v>0</v>
      </c>
      <c r="G67">
        <v>16175</v>
      </c>
      <c r="H67">
        <v>0</v>
      </c>
      <c r="I67">
        <v>0</v>
      </c>
      <c r="J67">
        <v>0</v>
      </c>
      <c r="K67">
        <f t="shared" si="0"/>
        <v>24</v>
      </c>
      <c r="L67">
        <v>0</v>
      </c>
      <c r="M67" t="str">
        <f>IF(L67=0,"",IF(#REF!&gt;0,"CONTRATISTA",IF(#REF!&gt;0,"CLIENTE","SIN_INFO")))</f>
        <v/>
      </c>
      <c r="N67" s="4" t="s">
        <v>59</v>
      </c>
    </row>
    <row r="68" spans="1:14" hidden="1">
      <c r="A68" s="2">
        <v>46179</v>
      </c>
      <c r="B68" t="s">
        <v>40</v>
      </c>
      <c r="C68" t="s">
        <v>41</v>
      </c>
      <c r="D68" t="s">
        <v>10</v>
      </c>
      <c r="E68">
        <v>24</v>
      </c>
      <c r="F68">
        <v>0</v>
      </c>
      <c r="G68">
        <v>14354</v>
      </c>
      <c r="H68">
        <v>0</v>
      </c>
      <c r="I68">
        <v>0</v>
      </c>
      <c r="J68">
        <v>0</v>
      </c>
      <c r="K68">
        <f t="shared" ref="K68:K131" si="1">SUM(E68+F68+H68+I68+J68)</f>
        <v>24</v>
      </c>
      <c r="L68">
        <v>0</v>
      </c>
      <c r="M68" t="str">
        <f>IF(L68=0,"",IF(#REF!&gt;0,"CONTRATISTA",IF(#REF!&gt;0,"CLIENTE","SIN_INFO")))</f>
        <v/>
      </c>
      <c r="N68" s="4"/>
    </row>
    <row r="69" spans="1:14" hidden="1">
      <c r="A69" s="2">
        <v>46179</v>
      </c>
      <c r="B69" t="s">
        <v>40</v>
      </c>
      <c r="C69" t="s">
        <v>41</v>
      </c>
      <c r="D69" t="s">
        <v>11</v>
      </c>
      <c r="E69">
        <v>24</v>
      </c>
      <c r="F69">
        <v>0</v>
      </c>
      <c r="G69">
        <v>16172</v>
      </c>
      <c r="H69">
        <v>0</v>
      </c>
      <c r="I69">
        <v>0</v>
      </c>
      <c r="J69">
        <v>0</v>
      </c>
      <c r="K69">
        <f t="shared" si="1"/>
        <v>24</v>
      </c>
      <c r="L69">
        <v>0</v>
      </c>
      <c r="M69" t="str">
        <f>IF(L69=0,"",IF(#REF!&gt;0,"CONTRATISTA",IF(#REF!&gt;0,"CLIENTE","SIN_INFO")))</f>
        <v/>
      </c>
      <c r="N69" s="4"/>
    </row>
    <row r="70" spans="1:14" hidden="1">
      <c r="A70" s="2">
        <v>46179</v>
      </c>
      <c r="B70" t="s">
        <v>40</v>
      </c>
      <c r="C70" t="s">
        <v>41</v>
      </c>
      <c r="D70" t="s">
        <v>12</v>
      </c>
      <c r="E70">
        <v>24</v>
      </c>
      <c r="F70">
        <v>0</v>
      </c>
      <c r="G70">
        <v>21567</v>
      </c>
      <c r="H70">
        <v>0</v>
      </c>
      <c r="I70">
        <v>0</v>
      </c>
      <c r="J70">
        <v>0</v>
      </c>
      <c r="K70">
        <f t="shared" si="1"/>
        <v>24</v>
      </c>
      <c r="L70">
        <v>0</v>
      </c>
      <c r="M70" t="str">
        <f>IF(L70=0,"",IF(#REF!&gt;0,"CONTRATISTA",IF(#REF!&gt;0,"CLIENTE","SIN_INFO")))</f>
        <v/>
      </c>
      <c r="N70" s="4"/>
    </row>
    <row r="71" spans="1:14" hidden="1">
      <c r="A71" s="2">
        <v>46179</v>
      </c>
      <c r="B71" t="s">
        <v>40</v>
      </c>
      <c r="C71" t="s">
        <v>41</v>
      </c>
      <c r="D71" t="s">
        <v>13</v>
      </c>
      <c r="E71">
        <v>24</v>
      </c>
      <c r="F71">
        <v>0</v>
      </c>
      <c r="G71">
        <v>20721</v>
      </c>
      <c r="H71">
        <v>0</v>
      </c>
      <c r="I71">
        <v>0</v>
      </c>
      <c r="J71">
        <v>0</v>
      </c>
      <c r="K71">
        <f t="shared" si="1"/>
        <v>24</v>
      </c>
      <c r="L71">
        <v>0</v>
      </c>
      <c r="M71" t="str">
        <f>IF(L71=0,"",IF(#REF!&gt;0,"CONTRATISTA",IF(#REF!&gt;0,"CLIENTE","SIN_INFO")))</f>
        <v/>
      </c>
      <c r="N71" s="4"/>
    </row>
    <row r="72" spans="1:14" hidden="1">
      <c r="A72" s="2">
        <v>46179</v>
      </c>
      <c r="B72" t="s">
        <v>40</v>
      </c>
      <c r="C72" t="s">
        <v>41</v>
      </c>
      <c r="D72" t="s">
        <v>14</v>
      </c>
      <c r="E72">
        <v>24</v>
      </c>
      <c r="F72">
        <v>0</v>
      </c>
      <c r="G72">
        <v>22805</v>
      </c>
      <c r="H72">
        <v>0</v>
      </c>
      <c r="I72">
        <v>0</v>
      </c>
      <c r="J72">
        <v>0</v>
      </c>
      <c r="K72">
        <f t="shared" si="1"/>
        <v>24</v>
      </c>
      <c r="L72">
        <v>0</v>
      </c>
      <c r="M72" t="str">
        <f>IF(L72=0,"",IF(#REF!&gt;0,"CONTRATISTA",IF(#REF!&gt;0,"CLIENTE","SIN_INFO")))</f>
        <v/>
      </c>
      <c r="N72" s="4"/>
    </row>
    <row r="73" spans="1:14" hidden="1">
      <c r="A73" s="2">
        <v>46179</v>
      </c>
      <c r="B73" t="s">
        <v>40</v>
      </c>
      <c r="C73" t="s">
        <v>41</v>
      </c>
      <c r="D73" t="s">
        <v>15</v>
      </c>
      <c r="E73">
        <v>24</v>
      </c>
      <c r="F73">
        <v>0</v>
      </c>
      <c r="G73">
        <v>16773</v>
      </c>
      <c r="H73">
        <v>0</v>
      </c>
      <c r="I73">
        <v>0</v>
      </c>
      <c r="J73">
        <v>0</v>
      </c>
      <c r="K73">
        <f t="shared" si="1"/>
        <v>24</v>
      </c>
      <c r="L73">
        <v>0</v>
      </c>
      <c r="M73" t="str">
        <f>IF(L73=0,"",IF(#REF!&gt;0,"CONTRATISTA",IF(#REF!&gt;0,"CLIENTE","SIN_INFO")))</f>
        <v/>
      </c>
      <c r="N73" s="4"/>
    </row>
    <row r="74" spans="1:14" hidden="1">
      <c r="A74" s="2">
        <v>46179</v>
      </c>
      <c r="B74" t="s">
        <v>40</v>
      </c>
      <c r="C74" t="s">
        <v>41</v>
      </c>
      <c r="D74" t="s">
        <v>16</v>
      </c>
      <c r="E74">
        <v>0</v>
      </c>
      <c r="F74">
        <v>24</v>
      </c>
      <c r="G74">
        <v>185</v>
      </c>
      <c r="H74">
        <v>0</v>
      </c>
      <c r="I74">
        <v>0</v>
      </c>
      <c r="J74">
        <v>0</v>
      </c>
      <c r="K74">
        <f t="shared" si="1"/>
        <v>24</v>
      </c>
      <c r="L74">
        <v>0</v>
      </c>
      <c r="M74" t="str">
        <f>IF(L74=0,"",IF(#REF!&gt;0,"CONTRATISTA",IF(#REF!&gt;0,"CLIENTE","SIN_INFO")))</f>
        <v/>
      </c>
      <c r="N74" s="4"/>
    </row>
    <row r="75" spans="1:14" hidden="1">
      <c r="A75" s="2">
        <v>46179</v>
      </c>
      <c r="B75" t="s">
        <v>40</v>
      </c>
      <c r="C75" t="s">
        <v>41</v>
      </c>
      <c r="D75" t="s">
        <v>17</v>
      </c>
      <c r="E75">
        <v>0</v>
      </c>
      <c r="F75">
        <v>24</v>
      </c>
      <c r="G75">
        <v>0</v>
      </c>
      <c r="H75">
        <v>0</v>
      </c>
      <c r="I75">
        <v>0</v>
      </c>
      <c r="J75">
        <v>0</v>
      </c>
      <c r="K75">
        <f t="shared" si="1"/>
        <v>24</v>
      </c>
      <c r="L75">
        <v>0</v>
      </c>
      <c r="M75" t="str">
        <f>IF(L75=0,"",IF(#REF!&gt;0,"CONTRATISTA",IF(#REF!&gt;0,"CLIENTE","SIN_INFO")))</f>
        <v/>
      </c>
      <c r="N75" s="4"/>
    </row>
    <row r="76" spans="1:14" hidden="1">
      <c r="A76" s="2">
        <v>46179</v>
      </c>
      <c r="B76" t="s">
        <v>40</v>
      </c>
      <c r="C76" t="s">
        <v>41</v>
      </c>
      <c r="D76" t="s">
        <v>18</v>
      </c>
      <c r="E76">
        <v>0</v>
      </c>
      <c r="F76">
        <v>24</v>
      </c>
      <c r="G76">
        <v>0</v>
      </c>
      <c r="H76">
        <v>0</v>
      </c>
      <c r="I76">
        <v>0</v>
      </c>
      <c r="J76">
        <v>0</v>
      </c>
      <c r="K76">
        <f t="shared" si="1"/>
        <v>24</v>
      </c>
      <c r="L76">
        <v>0</v>
      </c>
      <c r="M76" t="str">
        <f>IF(L76=0,"",IF(#REF!&gt;0,"CONTRATISTA",IF(#REF!&gt;0,"CLIENTE","SIN_INFO")))</f>
        <v/>
      </c>
      <c r="N76" s="4"/>
    </row>
    <row r="77" spans="1:14" hidden="1">
      <c r="A77" s="2">
        <v>46179</v>
      </c>
      <c r="B77" t="s">
        <v>40</v>
      </c>
      <c r="C77" t="s">
        <v>42</v>
      </c>
      <c r="D77" t="s">
        <v>19</v>
      </c>
      <c r="E77">
        <v>23</v>
      </c>
      <c r="F77">
        <v>0</v>
      </c>
      <c r="G77">
        <v>8307</v>
      </c>
      <c r="H77">
        <v>0</v>
      </c>
      <c r="I77">
        <v>0</v>
      </c>
      <c r="J77">
        <v>1</v>
      </c>
      <c r="K77">
        <f t="shared" si="1"/>
        <v>24</v>
      </c>
      <c r="L77">
        <v>0</v>
      </c>
      <c r="M77" t="str">
        <f>IF(L77=0,"",IF(#REF!&gt;0,"CONTRATISTA",IF(#REF!&gt;0,"CLIENTE","SIN_INFO")))</f>
        <v/>
      </c>
      <c r="N77" s="4" t="s">
        <v>61</v>
      </c>
    </row>
    <row r="78" spans="1:14" hidden="1">
      <c r="A78" s="2">
        <v>46179</v>
      </c>
      <c r="B78" t="s">
        <v>40</v>
      </c>
      <c r="C78" t="s">
        <v>42</v>
      </c>
      <c r="D78" t="s">
        <v>20</v>
      </c>
      <c r="E78">
        <v>24</v>
      </c>
      <c r="F78">
        <v>0</v>
      </c>
      <c r="G78">
        <v>8893</v>
      </c>
      <c r="H78">
        <v>0</v>
      </c>
      <c r="I78">
        <v>0</v>
      </c>
      <c r="J78">
        <v>0</v>
      </c>
      <c r="K78">
        <f t="shared" si="1"/>
        <v>24</v>
      </c>
      <c r="L78">
        <v>0</v>
      </c>
      <c r="M78" t="str">
        <f>IF(L78=0,"",IF(#REF!&gt;0,"CONTRATISTA",IF(#REF!&gt;0,"CLIENTE","SIN_INFO")))</f>
        <v/>
      </c>
      <c r="N78" s="4"/>
    </row>
    <row r="79" spans="1:14" hidden="1">
      <c r="A79" s="2">
        <v>46179</v>
      </c>
      <c r="B79" t="s">
        <v>40</v>
      </c>
      <c r="C79" t="s">
        <v>41</v>
      </c>
      <c r="D79" t="s">
        <v>21</v>
      </c>
      <c r="E79">
        <v>8</v>
      </c>
      <c r="F79">
        <v>16</v>
      </c>
      <c r="G79">
        <v>3284</v>
      </c>
      <c r="H79">
        <v>0</v>
      </c>
      <c r="I79">
        <v>0</v>
      </c>
      <c r="J79">
        <v>0</v>
      </c>
      <c r="K79">
        <f t="shared" si="1"/>
        <v>24</v>
      </c>
      <c r="L79">
        <v>0</v>
      </c>
      <c r="M79" t="str">
        <f>IF(L79=0,"",IF(#REF!&gt;0,"CONTRATISTA",IF(#REF!&gt;0,"CLIENTE","SIN_INFO")))</f>
        <v/>
      </c>
      <c r="N79" s="3" t="s">
        <v>62</v>
      </c>
    </row>
    <row r="80" spans="1:14">
      <c r="A80" s="2">
        <v>46180</v>
      </c>
      <c r="B80" t="s">
        <v>40</v>
      </c>
      <c r="C80" t="s">
        <v>41</v>
      </c>
      <c r="D80" t="s">
        <v>9</v>
      </c>
      <c r="E80">
        <v>21</v>
      </c>
      <c r="F80">
        <v>0</v>
      </c>
      <c r="G80">
        <v>13478</v>
      </c>
      <c r="H80">
        <v>0</v>
      </c>
      <c r="I80">
        <v>0</v>
      </c>
      <c r="J80">
        <v>3</v>
      </c>
      <c r="K80">
        <f t="shared" si="1"/>
        <v>24</v>
      </c>
      <c r="L80">
        <v>1</v>
      </c>
      <c r="M80" t="e">
        <f>IF(L80=0,"",IF(#REF!&gt;0,"CONTRATISTA",IF(#REF!&gt;0,"CLIENTE","SIN_INFO")))</f>
        <v>#REF!</v>
      </c>
      <c r="N80" s="3" t="s">
        <v>63</v>
      </c>
    </row>
    <row r="81" spans="1:14" hidden="1">
      <c r="A81" s="2">
        <v>46180</v>
      </c>
      <c r="B81" t="s">
        <v>40</v>
      </c>
      <c r="C81" t="s">
        <v>41</v>
      </c>
      <c r="D81" t="s">
        <v>10</v>
      </c>
      <c r="E81">
        <v>24</v>
      </c>
      <c r="F81">
        <v>0</v>
      </c>
      <c r="G81">
        <v>15023</v>
      </c>
      <c r="H81">
        <v>0</v>
      </c>
      <c r="I81">
        <v>0</v>
      </c>
      <c r="J81">
        <v>0</v>
      </c>
      <c r="K81">
        <f t="shared" si="1"/>
        <v>24</v>
      </c>
      <c r="L81">
        <v>0</v>
      </c>
      <c r="M81" t="str">
        <f>IF(L81=0,"",IF(#REF!&gt;0,"CONTRATISTA",IF(#REF!&gt;0,"CLIENTE","SIN_INFO")))</f>
        <v/>
      </c>
      <c r="N81" s="3"/>
    </row>
    <row r="82" spans="1:14" hidden="1">
      <c r="A82" s="2">
        <v>46180</v>
      </c>
      <c r="B82" t="s">
        <v>40</v>
      </c>
      <c r="C82" t="s">
        <v>41</v>
      </c>
      <c r="D82" t="s">
        <v>11</v>
      </c>
      <c r="E82">
        <v>24</v>
      </c>
      <c r="F82">
        <v>0</v>
      </c>
      <c r="G82">
        <v>15380</v>
      </c>
      <c r="H82">
        <v>0</v>
      </c>
      <c r="I82">
        <v>0</v>
      </c>
      <c r="J82">
        <v>0</v>
      </c>
      <c r="K82">
        <f t="shared" si="1"/>
        <v>24</v>
      </c>
      <c r="L82">
        <v>0</v>
      </c>
      <c r="M82" t="str">
        <f>IF(L82=0,"",IF(#REF!&gt;0,"CONTRATISTA",IF(#REF!&gt;0,"CLIENTE","SIN_INFO")))</f>
        <v/>
      </c>
      <c r="N82" s="4"/>
    </row>
    <row r="83" spans="1:14" hidden="1">
      <c r="A83" s="2">
        <v>46180</v>
      </c>
      <c r="B83" t="s">
        <v>40</v>
      </c>
      <c r="C83" t="s">
        <v>41</v>
      </c>
      <c r="D83" t="s">
        <v>12</v>
      </c>
      <c r="E83">
        <v>24</v>
      </c>
      <c r="F83">
        <v>0</v>
      </c>
      <c r="G83">
        <v>20686</v>
      </c>
      <c r="H83">
        <v>0</v>
      </c>
      <c r="I83">
        <v>0</v>
      </c>
      <c r="J83">
        <v>0</v>
      </c>
      <c r="K83">
        <f t="shared" si="1"/>
        <v>24</v>
      </c>
      <c r="L83">
        <v>0</v>
      </c>
      <c r="M83" t="str">
        <f>IF(L83=0,"",IF(#REF!&gt;0,"CONTRATISTA",IF(#REF!&gt;0,"CLIENTE","SIN_INFO")))</f>
        <v/>
      </c>
      <c r="N83" s="4"/>
    </row>
    <row r="84" spans="1:14" hidden="1">
      <c r="A84" s="2">
        <v>46180</v>
      </c>
      <c r="B84" t="s">
        <v>40</v>
      </c>
      <c r="C84" t="s">
        <v>41</v>
      </c>
      <c r="D84" t="s">
        <v>13</v>
      </c>
      <c r="E84">
        <v>24</v>
      </c>
      <c r="F84">
        <v>0</v>
      </c>
      <c r="G84">
        <v>20162</v>
      </c>
      <c r="H84">
        <v>0</v>
      </c>
      <c r="I84">
        <v>0</v>
      </c>
      <c r="J84">
        <v>0</v>
      </c>
      <c r="K84">
        <f t="shared" si="1"/>
        <v>24</v>
      </c>
      <c r="L84">
        <v>0</v>
      </c>
      <c r="M84" t="str">
        <f>IF(L84=0,"",IF(#REF!&gt;0,"CONTRATISTA",IF(#REF!&gt;0,"CLIENTE","SIN_INFO")))</f>
        <v/>
      </c>
      <c r="N84" s="4"/>
    </row>
    <row r="85" spans="1:14" hidden="1">
      <c r="A85" s="2">
        <v>46180</v>
      </c>
      <c r="B85" t="s">
        <v>40</v>
      </c>
      <c r="C85" t="s">
        <v>41</v>
      </c>
      <c r="D85" t="s">
        <v>14</v>
      </c>
      <c r="E85">
        <v>24</v>
      </c>
      <c r="F85">
        <v>0</v>
      </c>
      <c r="G85">
        <v>22052</v>
      </c>
      <c r="H85">
        <v>0</v>
      </c>
      <c r="I85">
        <v>0</v>
      </c>
      <c r="J85">
        <v>0</v>
      </c>
      <c r="K85">
        <f t="shared" si="1"/>
        <v>24</v>
      </c>
      <c r="L85">
        <v>0</v>
      </c>
      <c r="M85" t="str">
        <f>IF(L85=0,"",IF(#REF!&gt;0,"CONTRATISTA",IF(#REF!&gt;0,"CLIENTE","SIN_INFO")))</f>
        <v/>
      </c>
      <c r="N85" s="4"/>
    </row>
    <row r="86" spans="1:14" hidden="1">
      <c r="A86" s="2">
        <v>46180</v>
      </c>
      <c r="B86" t="s">
        <v>40</v>
      </c>
      <c r="C86" t="s">
        <v>41</v>
      </c>
      <c r="D86" t="s">
        <v>15</v>
      </c>
      <c r="E86">
        <v>24</v>
      </c>
      <c r="F86">
        <v>0</v>
      </c>
      <c r="G86">
        <v>15850</v>
      </c>
      <c r="H86">
        <v>0</v>
      </c>
      <c r="I86">
        <v>0</v>
      </c>
      <c r="J86">
        <v>0</v>
      </c>
      <c r="K86">
        <f t="shared" si="1"/>
        <v>24</v>
      </c>
      <c r="L86">
        <v>0</v>
      </c>
      <c r="M86" t="str">
        <f>IF(L86=0,"",IF(#REF!&gt;0,"CONTRATISTA",IF(#REF!&gt;0,"CLIENTE","SIN_INFO")))</f>
        <v/>
      </c>
      <c r="N86" s="4"/>
    </row>
    <row r="87" spans="1:14" hidden="1">
      <c r="A87" s="2">
        <v>46180</v>
      </c>
      <c r="B87" t="s">
        <v>40</v>
      </c>
      <c r="C87" t="s">
        <v>41</v>
      </c>
      <c r="D87" t="s">
        <v>16</v>
      </c>
      <c r="E87">
        <v>0</v>
      </c>
      <c r="F87">
        <v>24</v>
      </c>
      <c r="G87">
        <v>0</v>
      </c>
      <c r="H87">
        <v>0</v>
      </c>
      <c r="I87">
        <v>0</v>
      </c>
      <c r="J87">
        <v>0</v>
      </c>
      <c r="K87">
        <f t="shared" si="1"/>
        <v>24</v>
      </c>
      <c r="L87">
        <v>0</v>
      </c>
      <c r="M87" t="str">
        <f>IF(L87=0,"",IF(#REF!&gt;0,"CONTRATISTA",IF(#REF!&gt;0,"CLIENTE","SIN_INFO")))</f>
        <v/>
      </c>
      <c r="N87" s="4"/>
    </row>
    <row r="88" spans="1:14" hidden="1">
      <c r="A88" s="2">
        <v>46180</v>
      </c>
      <c r="B88" t="s">
        <v>40</v>
      </c>
      <c r="C88" t="s">
        <v>41</v>
      </c>
      <c r="D88" t="s">
        <v>17</v>
      </c>
      <c r="E88">
        <v>0</v>
      </c>
      <c r="F88">
        <v>24</v>
      </c>
      <c r="G88">
        <v>0</v>
      </c>
      <c r="H88">
        <v>0</v>
      </c>
      <c r="I88">
        <v>0</v>
      </c>
      <c r="J88">
        <v>0</v>
      </c>
      <c r="K88">
        <f t="shared" si="1"/>
        <v>24</v>
      </c>
      <c r="L88">
        <v>0</v>
      </c>
      <c r="M88" t="str">
        <f>IF(L88=0,"",IF(#REF!&gt;0,"CONTRATISTA",IF(#REF!&gt;0,"CLIENTE","SIN_INFO")))</f>
        <v/>
      </c>
      <c r="N88" s="4"/>
    </row>
    <row r="89" spans="1:14" hidden="1">
      <c r="A89" s="2">
        <v>46180</v>
      </c>
      <c r="B89" t="s">
        <v>40</v>
      </c>
      <c r="C89" t="s">
        <v>41</v>
      </c>
      <c r="D89" t="s">
        <v>18</v>
      </c>
      <c r="E89">
        <v>0</v>
      </c>
      <c r="F89">
        <v>24</v>
      </c>
      <c r="G89">
        <v>0</v>
      </c>
      <c r="H89">
        <v>0</v>
      </c>
      <c r="I89">
        <v>0</v>
      </c>
      <c r="J89">
        <v>0</v>
      </c>
      <c r="K89">
        <f t="shared" si="1"/>
        <v>24</v>
      </c>
      <c r="L89">
        <v>0</v>
      </c>
      <c r="M89" t="str">
        <f>IF(L89=0,"",IF(#REF!&gt;0,"CONTRATISTA",IF(#REF!&gt;0,"CLIENTE","SIN_INFO")))</f>
        <v/>
      </c>
      <c r="N89" s="4"/>
    </row>
    <row r="90" spans="1:14" hidden="1">
      <c r="A90" s="2">
        <v>46180</v>
      </c>
      <c r="B90" t="s">
        <v>40</v>
      </c>
      <c r="C90" t="s">
        <v>42</v>
      </c>
      <c r="D90" t="s">
        <v>19</v>
      </c>
      <c r="E90">
        <v>24</v>
      </c>
      <c r="F90">
        <v>0</v>
      </c>
      <c r="G90">
        <v>8163</v>
      </c>
      <c r="H90">
        <v>0</v>
      </c>
      <c r="I90">
        <v>0</v>
      </c>
      <c r="J90">
        <v>0</v>
      </c>
      <c r="K90">
        <f t="shared" si="1"/>
        <v>24</v>
      </c>
      <c r="L90">
        <v>0</v>
      </c>
      <c r="M90" t="str">
        <f>IF(L90=0,"",IF(#REF!&gt;0,"CONTRATISTA",IF(#REF!&gt;0,"CLIENTE","SIN_INFO")))</f>
        <v/>
      </c>
      <c r="N90" s="4"/>
    </row>
    <row r="91" spans="1:14" hidden="1">
      <c r="A91" s="2">
        <v>46180</v>
      </c>
      <c r="B91" t="s">
        <v>40</v>
      </c>
      <c r="C91" t="s">
        <v>42</v>
      </c>
      <c r="D91" t="s">
        <v>20</v>
      </c>
      <c r="E91">
        <v>24</v>
      </c>
      <c r="F91">
        <v>0</v>
      </c>
      <c r="G91">
        <v>8146</v>
      </c>
      <c r="H91">
        <v>0</v>
      </c>
      <c r="I91">
        <v>0</v>
      </c>
      <c r="J91">
        <v>0</v>
      </c>
      <c r="K91">
        <f t="shared" si="1"/>
        <v>24</v>
      </c>
      <c r="L91">
        <v>0</v>
      </c>
      <c r="M91" t="str">
        <f>IF(L91=0,"",IF(#REF!&gt;0,"CONTRATISTA",IF(#REF!&gt;0,"CLIENTE","SIN_INFO")))</f>
        <v/>
      </c>
      <c r="N91" s="4"/>
    </row>
    <row r="92" spans="1:14" hidden="1">
      <c r="A92" s="2">
        <v>46180</v>
      </c>
      <c r="B92" t="s">
        <v>40</v>
      </c>
      <c r="C92" t="s">
        <v>41</v>
      </c>
      <c r="D92" t="s">
        <v>21</v>
      </c>
      <c r="E92">
        <v>0</v>
      </c>
      <c r="F92">
        <v>24</v>
      </c>
      <c r="G92">
        <v>0</v>
      </c>
      <c r="H92">
        <v>0</v>
      </c>
      <c r="I92">
        <v>0</v>
      </c>
      <c r="J92">
        <v>0</v>
      </c>
      <c r="K92">
        <f t="shared" si="1"/>
        <v>24</v>
      </c>
      <c r="L92">
        <v>0</v>
      </c>
      <c r="M92" t="str">
        <f>IF(L92=0,"",IF(#REF!&gt;0,"CONTRATISTA",IF(#REF!&gt;0,"CLIENTE","SIN_INFO")))</f>
        <v/>
      </c>
      <c r="N92" s="4" t="s">
        <v>64</v>
      </c>
    </row>
    <row r="93" spans="1:14" hidden="1">
      <c r="A93" s="2">
        <v>46181</v>
      </c>
      <c r="B93" t="s">
        <v>40</v>
      </c>
      <c r="C93" t="s">
        <v>41</v>
      </c>
      <c r="D93" t="s">
        <v>9</v>
      </c>
      <c r="E93">
        <v>24</v>
      </c>
      <c r="F93">
        <v>0</v>
      </c>
      <c r="G93">
        <v>16303</v>
      </c>
      <c r="H93">
        <v>0</v>
      </c>
      <c r="I93">
        <v>0</v>
      </c>
      <c r="J93">
        <v>0</v>
      </c>
      <c r="K93">
        <f t="shared" si="1"/>
        <v>24</v>
      </c>
      <c r="L93">
        <v>0</v>
      </c>
      <c r="M93" t="str">
        <f>IF(L93=0,"",IF(#REF!&gt;0,"CONTRATISTA",IF(#REF!&gt;0,"CLIENTE","SIN_INFO")))</f>
        <v/>
      </c>
      <c r="N93" s="4"/>
    </row>
    <row r="94" spans="1:14" hidden="1">
      <c r="A94" s="2">
        <v>46181</v>
      </c>
      <c r="B94" t="s">
        <v>40</v>
      </c>
      <c r="C94" t="s">
        <v>41</v>
      </c>
      <c r="D94" t="s">
        <v>10</v>
      </c>
      <c r="E94">
        <v>24</v>
      </c>
      <c r="F94">
        <v>0</v>
      </c>
      <c r="G94">
        <v>15223</v>
      </c>
      <c r="H94">
        <v>0</v>
      </c>
      <c r="I94">
        <v>0</v>
      </c>
      <c r="J94">
        <v>0</v>
      </c>
      <c r="K94">
        <f t="shared" si="1"/>
        <v>24</v>
      </c>
      <c r="L94">
        <v>0</v>
      </c>
      <c r="M94" t="str">
        <f>IF(L94=0,"",IF(#REF!&gt;0,"CONTRATISTA",IF(#REF!&gt;0,"CLIENTE","SIN_INFO")))</f>
        <v/>
      </c>
      <c r="N94" s="3"/>
    </row>
    <row r="95" spans="1:14" hidden="1">
      <c r="A95" s="2">
        <v>46181</v>
      </c>
      <c r="B95" t="s">
        <v>40</v>
      </c>
      <c r="C95" t="s">
        <v>41</v>
      </c>
      <c r="D95" t="s">
        <v>11</v>
      </c>
      <c r="E95">
        <v>20</v>
      </c>
      <c r="F95">
        <v>0</v>
      </c>
      <c r="G95">
        <v>13334</v>
      </c>
      <c r="H95">
        <v>4</v>
      </c>
      <c r="I95">
        <v>0</v>
      </c>
      <c r="J95">
        <v>0</v>
      </c>
      <c r="K95">
        <f t="shared" si="1"/>
        <v>24</v>
      </c>
      <c r="L95">
        <v>0</v>
      </c>
      <c r="M95" t="str">
        <f>IF(L95=0,"",IF(#REF!&gt;0,"CONTRATISTA",IF(#REF!&gt;0,"CLIENTE","SIN_INFO")))</f>
        <v/>
      </c>
      <c r="N95" s="3" t="s">
        <v>65</v>
      </c>
    </row>
    <row r="96" spans="1:14" hidden="1">
      <c r="A96" s="2">
        <v>46181</v>
      </c>
      <c r="B96" t="s">
        <v>40</v>
      </c>
      <c r="C96" t="s">
        <v>41</v>
      </c>
      <c r="D96" t="s">
        <v>12</v>
      </c>
      <c r="E96">
        <v>24</v>
      </c>
      <c r="F96">
        <v>0</v>
      </c>
      <c r="G96">
        <v>21108</v>
      </c>
      <c r="H96">
        <v>0</v>
      </c>
      <c r="I96">
        <v>0</v>
      </c>
      <c r="J96">
        <v>0</v>
      </c>
      <c r="K96">
        <f t="shared" si="1"/>
        <v>24</v>
      </c>
      <c r="L96">
        <v>0</v>
      </c>
      <c r="M96" t="str">
        <f>IF(L96=0,"",IF(#REF!&gt;0,"CONTRATISTA",IF(#REF!&gt;0,"CLIENTE","SIN_INFO")))</f>
        <v/>
      </c>
      <c r="N96" s="3"/>
    </row>
    <row r="97" spans="1:14" hidden="1">
      <c r="A97" s="2">
        <v>46181</v>
      </c>
      <c r="B97" t="s">
        <v>40</v>
      </c>
      <c r="C97" t="s">
        <v>41</v>
      </c>
      <c r="D97" t="s">
        <v>13</v>
      </c>
      <c r="E97">
        <v>24</v>
      </c>
      <c r="F97">
        <v>0</v>
      </c>
      <c r="G97">
        <v>20630</v>
      </c>
      <c r="H97">
        <v>0</v>
      </c>
      <c r="I97">
        <v>0</v>
      </c>
      <c r="J97">
        <v>0</v>
      </c>
      <c r="K97">
        <f t="shared" si="1"/>
        <v>24</v>
      </c>
      <c r="L97">
        <v>0</v>
      </c>
      <c r="M97" t="str">
        <f>IF(L97=0,"",IF(#REF!&gt;0,"CONTRATISTA",IF(#REF!&gt;0,"CLIENTE","SIN_INFO")))</f>
        <v/>
      </c>
      <c r="N97" s="4"/>
    </row>
    <row r="98" spans="1:14" hidden="1">
      <c r="A98" s="2">
        <v>46181</v>
      </c>
      <c r="B98" t="s">
        <v>40</v>
      </c>
      <c r="C98" t="s">
        <v>41</v>
      </c>
      <c r="D98" t="s">
        <v>14</v>
      </c>
      <c r="E98">
        <v>22</v>
      </c>
      <c r="F98">
        <v>2</v>
      </c>
      <c r="G98">
        <v>20152</v>
      </c>
      <c r="H98">
        <v>0</v>
      </c>
      <c r="I98">
        <v>0</v>
      </c>
      <c r="J98">
        <v>0</v>
      </c>
      <c r="K98">
        <f t="shared" si="1"/>
        <v>24</v>
      </c>
      <c r="L98">
        <v>0</v>
      </c>
      <c r="M98" t="str">
        <f>IF(L98=0,"",IF(#REF!&gt;0,"CONTRATISTA",IF(#REF!&gt;0,"CLIENTE","SIN_INFO")))</f>
        <v/>
      </c>
      <c r="N98" s="4" t="s">
        <v>66</v>
      </c>
    </row>
    <row r="99" spans="1:14" hidden="1">
      <c r="A99" s="2">
        <v>46181</v>
      </c>
      <c r="B99" t="s">
        <v>40</v>
      </c>
      <c r="C99" t="s">
        <v>41</v>
      </c>
      <c r="D99" t="s">
        <v>15</v>
      </c>
      <c r="E99">
        <v>22</v>
      </c>
      <c r="F99">
        <v>2</v>
      </c>
      <c r="G99">
        <v>14876</v>
      </c>
      <c r="H99">
        <v>0</v>
      </c>
      <c r="I99">
        <v>0</v>
      </c>
      <c r="J99">
        <v>0</v>
      </c>
      <c r="K99">
        <f t="shared" si="1"/>
        <v>24</v>
      </c>
      <c r="L99">
        <v>0</v>
      </c>
      <c r="M99" t="str">
        <f>IF(L99=0,"",IF(#REF!&gt;0,"CONTRATISTA",IF(#REF!&gt;0,"CLIENTE","SIN_INFO")))</f>
        <v/>
      </c>
      <c r="N99" s="4" t="s">
        <v>66</v>
      </c>
    </row>
    <row r="100" spans="1:14" hidden="1">
      <c r="A100" s="2">
        <v>46181</v>
      </c>
      <c r="B100" t="s">
        <v>40</v>
      </c>
      <c r="C100" t="s">
        <v>41</v>
      </c>
      <c r="D100" t="s">
        <v>16</v>
      </c>
      <c r="E100">
        <v>0</v>
      </c>
      <c r="F100">
        <v>24</v>
      </c>
      <c r="G100">
        <v>0</v>
      </c>
      <c r="H100">
        <v>0</v>
      </c>
      <c r="I100">
        <v>0</v>
      </c>
      <c r="J100">
        <v>0</v>
      </c>
      <c r="K100">
        <f t="shared" si="1"/>
        <v>24</v>
      </c>
      <c r="L100">
        <v>0</v>
      </c>
      <c r="M100" t="str">
        <f>IF(L100=0,"",IF(#REF!&gt;0,"CONTRATISTA",IF(#REF!&gt;0,"CLIENTE","SIN_INFO")))</f>
        <v/>
      </c>
      <c r="N100" s="4"/>
    </row>
    <row r="101" spans="1:14" hidden="1">
      <c r="A101" s="2">
        <v>46181</v>
      </c>
      <c r="B101" t="s">
        <v>40</v>
      </c>
      <c r="C101" t="s">
        <v>41</v>
      </c>
      <c r="D101" t="s">
        <v>17</v>
      </c>
      <c r="E101">
        <v>3</v>
      </c>
      <c r="F101">
        <v>21</v>
      </c>
      <c r="G101">
        <v>2223</v>
      </c>
      <c r="H101">
        <v>0</v>
      </c>
      <c r="I101">
        <v>0</v>
      </c>
      <c r="J101">
        <v>0</v>
      </c>
      <c r="K101">
        <f t="shared" si="1"/>
        <v>24</v>
      </c>
      <c r="L101">
        <v>0</v>
      </c>
      <c r="M101" t="str">
        <f>IF(L101=0,"",IF(#REF!&gt;0,"CONTRATISTA",IF(#REF!&gt;0,"CLIENTE","SIN_INFO")))</f>
        <v/>
      </c>
      <c r="N101" s="4" t="s">
        <v>67</v>
      </c>
    </row>
    <row r="102" spans="1:14" hidden="1">
      <c r="A102" s="2">
        <v>46181</v>
      </c>
      <c r="B102" t="s">
        <v>40</v>
      </c>
      <c r="C102" t="s">
        <v>41</v>
      </c>
      <c r="D102" t="s">
        <v>18</v>
      </c>
      <c r="E102">
        <v>3</v>
      </c>
      <c r="F102">
        <v>21</v>
      </c>
      <c r="G102">
        <v>1820</v>
      </c>
      <c r="H102">
        <v>0</v>
      </c>
      <c r="I102">
        <v>0</v>
      </c>
      <c r="J102">
        <v>0</v>
      </c>
      <c r="K102">
        <f t="shared" si="1"/>
        <v>24</v>
      </c>
      <c r="L102">
        <v>0</v>
      </c>
      <c r="M102" t="str">
        <f>IF(L102=0,"",IF(#REF!&gt;0,"CONTRATISTA",IF(#REF!&gt;0,"CLIENTE","SIN_INFO")))</f>
        <v/>
      </c>
      <c r="N102" s="4" t="s">
        <v>67</v>
      </c>
    </row>
    <row r="103" spans="1:14" hidden="1">
      <c r="A103" s="2">
        <v>46181</v>
      </c>
      <c r="B103" t="s">
        <v>40</v>
      </c>
      <c r="C103" t="s">
        <v>42</v>
      </c>
      <c r="D103" t="s">
        <v>19</v>
      </c>
      <c r="E103">
        <v>24</v>
      </c>
      <c r="F103">
        <v>0</v>
      </c>
      <c r="G103">
        <v>10265</v>
      </c>
      <c r="H103">
        <v>0</v>
      </c>
      <c r="I103">
        <v>0</v>
      </c>
      <c r="J103">
        <v>0</v>
      </c>
      <c r="K103">
        <f t="shared" si="1"/>
        <v>24</v>
      </c>
      <c r="L103">
        <v>0</v>
      </c>
      <c r="M103" t="str">
        <f>IF(L103=0,"",IF(#REF!&gt;0,"CONTRATISTA",IF(#REF!&gt;0,"CLIENTE","SIN_INFO")))</f>
        <v/>
      </c>
      <c r="N103" s="4"/>
    </row>
    <row r="104" spans="1:14" hidden="1">
      <c r="A104" s="2">
        <v>46181</v>
      </c>
      <c r="B104" t="s">
        <v>40</v>
      </c>
      <c r="C104" t="s">
        <v>42</v>
      </c>
      <c r="D104" t="s">
        <v>20</v>
      </c>
      <c r="E104">
        <v>24</v>
      </c>
      <c r="F104">
        <v>0</v>
      </c>
      <c r="G104">
        <v>8882</v>
      </c>
      <c r="H104">
        <v>0</v>
      </c>
      <c r="I104">
        <v>0</v>
      </c>
      <c r="J104">
        <v>0</v>
      </c>
      <c r="K104">
        <f t="shared" si="1"/>
        <v>24</v>
      </c>
      <c r="L104">
        <v>0</v>
      </c>
      <c r="M104" t="str">
        <f>IF(L104=0,"",IF(#REF!&gt;0,"CONTRATISTA",IF(#REF!&gt;0,"CLIENTE","SIN_INFO")))</f>
        <v/>
      </c>
      <c r="N104" s="4"/>
    </row>
    <row r="105" spans="1:14" hidden="1">
      <c r="A105" s="2">
        <v>46181</v>
      </c>
      <c r="B105" t="s">
        <v>40</v>
      </c>
      <c r="C105" t="s">
        <v>41</v>
      </c>
      <c r="D105" t="s">
        <v>21</v>
      </c>
      <c r="E105" s="6">
        <v>0</v>
      </c>
      <c r="F105">
        <v>19</v>
      </c>
      <c r="G105">
        <v>0</v>
      </c>
      <c r="H105">
        <v>0</v>
      </c>
      <c r="I105" s="6">
        <v>0</v>
      </c>
      <c r="J105">
        <v>5</v>
      </c>
      <c r="K105">
        <f t="shared" si="1"/>
        <v>24</v>
      </c>
      <c r="L105">
        <v>0</v>
      </c>
      <c r="M105" t="str">
        <f>IF(L105=0,"",IF(#REF!&gt;0,"CONTRATISTA",IF(#REF!&gt;0,"CLIENTE","SIN_INFO")))</f>
        <v/>
      </c>
      <c r="N105" s="4" t="s">
        <v>68</v>
      </c>
    </row>
    <row r="106" spans="1:14" hidden="1">
      <c r="A106" s="2">
        <v>46182</v>
      </c>
      <c r="B106" t="s">
        <v>40</v>
      </c>
      <c r="C106" t="s">
        <v>41</v>
      </c>
      <c r="D106" t="s">
        <v>9</v>
      </c>
      <c r="E106">
        <v>20</v>
      </c>
      <c r="F106">
        <v>4</v>
      </c>
      <c r="G106">
        <v>13105</v>
      </c>
      <c r="H106">
        <v>0</v>
      </c>
      <c r="I106">
        <v>0</v>
      </c>
      <c r="J106">
        <v>0</v>
      </c>
      <c r="K106">
        <f t="shared" si="1"/>
        <v>24</v>
      </c>
      <c r="L106">
        <v>0</v>
      </c>
      <c r="M106" t="str">
        <f>IF(L106=0,"",IF(#REF!&gt;0,"CONTRATISTA",IF(#REF!&gt;0,"CLIENTE","SIN_INFO")))</f>
        <v/>
      </c>
      <c r="N106" s="4" t="s">
        <v>69</v>
      </c>
    </row>
    <row r="107" spans="1:14" hidden="1">
      <c r="A107" s="2">
        <v>46182</v>
      </c>
      <c r="B107" t="s">
        <v>40</v>
      </c>
      <c r="C107" t="s">
        <v>41</v>
      </c>
      <c r="D107" t="s">
        <v>10</v>
      </c>
      <c r="E107">
        <v>24</v>
      </c>
      <c r="F107">
        <v>0</v>
      </c>
      <c r="G107">
        <v>13576</v>
      </c>
      <c r="H107">
        <v>0</v>
      </c>
      <c r="I107">
        <v>0</v>
      </c>
      <c r="J107">
        <v>0</v>
      </c>
      <c r="K107">
        <f t="shared" si="1"/>
        <v>24</v>
      </c>
      <c r="L107">
        <v>0</v>
      </c>
      <c r="M107" t="str">
        <f>IF(L107=0,"",IF(#REF!&gt;0,"CONTRATISTA",IF(#REF!&gt;0,"CLIENTE","SIN_INFO")))</f>
        <v/>
      </c>
      <c r="N107" s="4"/>
    </row>
    <row r="108" spans="1:14" hidden="1">
      <c r="A108" s="2">
        <v>46182</v>
      </c>
      <c r="B108" t="s">
        <v>40</v>
      </c>
      <c r="C108" t="s">
        <v>41</v>
      </c>
      <c r="D108" t="s">
        <v>11</v>
      </c>
      <c r="E108">
        <v>20</v>
      </c>
      <c r="F108">
        <v>4</v>
      </c>
      <c r="G108">
        <v>13065</v>
      </c>
      <c r="H108">
        <v>0</v>
      </c>
      <c r="I108">
        <v>0</v>
      </c>
      <c r="J108">
        <v>0</v>
      </c>
      <c r="K108">
        <f t="shared" si="1"/>
        <v>24</v>
      </c>
      <c r="L108">
        <v>0</v>
      </c>
      <c r="M108" t="str">
        <f>IF(L108=0,"",IF(#REF!&gt;0,"CONTRATISTA",IF(#REF!&gt;0,"CLIENTE","SIN_INFO")))</f>
        <v/>
      </c>
      <c r="N108" s="4" t="s">
        <v>69</v>
      </c>
    </row>
    <row r="109" spans="1:14" hidden="1">
      <c r="A109" s="2">
        <v>46182</v>
      </c>
      <c r="B109" t="s">
        <v>40</v>
      </c>
      <c r="C109" t="s">
        <v>41</v>
      </c>
      <c r="D109" t="s">
        <v>12</v>
      </c>
      <c r="E109">
        <v>24</v>
      </c>
      <c r="F109">
        <v>0</v>
      </c>
      <c r="G109">
        <v>20712</v>
      </c>
      <c r="H109">
        <v>0</v>
      </c>
      <c r="I109">
        <v>0</v>
      </c>
      <c r="J109">
        <v>0</v>
      </c>
      <c r="K109">
        <f t="shared" si="1"/>
        <v>24</v>
      </c>
      <c r="L109">
        <v>0</v>
      </c>
      <c r="M109" t="str">
        <f>IF(L109=0,"",IF(#REF!&gt;0,"CONTRATISTA",IF(#REF!&gt;0,"CLIENTE","SIN_INFO")))</f>
        <v/>
      </c>
      <c r="N109" s="3"/>
    </row>
    <row r="110" spans="1:14" hidden="1">
      <c r="A110" s="2">
        <v>46182</v>
      </c>
      <c r="B110" t="s">
        <v>40</v>
      </c>
      <c r="C110" t="s">
        <v>41</v>
      </c>
      <c r="D110" t="s">
        <v>13</v>
      </c>
      <c r="E110">
        <v>24</v>
      </c>
      <c r="F110">
        <v>0</v>
      </c>
      <c r="G110">
        <v>20190</v>
      </c>
      <c r="H110">
        <v>0</v>
      </c>
      <c r="I110">
        <v>0</v>
      </c>
      <c r="J110">
        <v>0</v>
      </c>
      <c r="K110">
        <f t="shared" si="1"/>
        <v>24</v>
      </c>
      <c r="L110">
        <v>0</v>
      </c>
      <c r="M110" t="str">
        <f>IF(L110=0,"",IF(#REF!&gt;0,"CONTRATISTA",IF(#REF!&gt;0,"CLIENTE","SIN_INFO")))</f>
        <v/>
      </c>
      <c r="N110" s="3"/>
    </row>
    <row r="111" spans="1:14" hidden="1">
      <c r="A111" s="2">
        <v>46182</v>
      </c>
      <c r="B111" t="s">
        <v>40</v>
      </c>
      <c r="C111" t="s">
        <v>41</v>
      </c>
      <c r="D111" t="s">
        <v>14</v>
      </c>
      <c r="E111">
        <v>23</v>
      </c>
      <c r="F111">
        <v>1</v>
      </c>
      <c r="G111">
        <v>19056</v>
      </c>
      <c r="H111">
        <v>0</v>
      </c>
      <c r="I111">
        <v>0</v>
      </c>
      <c r="J111">
        <v>0</v>
      </c>
      <c r="K111">
        <f t="shared" si="1"/>
        <v>24</v>
      </c>
      <c r="L111">
        <v>0</v>
      </c>
      <c r="M111" t="str">
        <f>IF(L111=0,"",IF(#REF!&gt;0,"CONTRATISTA",IF(#REF!&gt;0,"CLIENTE","SIN_INFO")))</f>
        <v/>
      </c>
      <c r="N111" s="3" t="s">
        <v>70</v>
      </c>
    </row>
    <row r="112" spans="1:14" hidden="1">
      <c r="A112" s="2">
        <v>46182</v>
      </c>
      <c r="B112" t="s">
        <v>40</v>
      </c>
      <c r="C112" t="s">
        <v>41</v>
      </c>
      <c r="D112" t="s">
        <v>15</v>
      </c>
      <c r="E112">
        <v>20</v>
      </c>
      <c r="F112">
        <v>4</v>
      </c>
      <c r="G112">
        <v>13831</v>
      </c>
      <c r="H112">
        <v>0</v>
      </c>
      <c r="I112">
        <v>0</v>
      </c>
      <c r="J112">
        <v>0</v>
      </c>
      <c r="K112">
        <f t="shared" si="1"/>
        <v>24</v>
      </c>
      <c r="L112">
        <v>0</v>
      </c>
      <c r="M112" t="str">
        <f>IF(L112=0,"",IF(#REF!&gt;0,"CONTRATISTA",IF(#REF!&gt;0,"CLIENTE","SIN_INFO")))</f>
        <v/>
      </c>
      <c r="N112" s="4" t="s">
        <v>69</v>
      </c>
    </row>
    <row r="113" spans="1:14" hidden="1">
      <c r="A113" s="2">
        <v>46182</v>
      </c>
      <c r="B113" t="s">
        <v>40</v>
      </c>
      <c r="C113" t="s">
        <v>41</v>
      </c>
      <c r="D113" t="s">
        <v>16</v>
      </c>
      <c r="E113">
        <v>1</v>
      </c>
      <c r="F113">
        <v>23</v>
      </c>
      <c r="G113">
        <v>201</v>
      </c>
      <c r="H113">
        <v>0</v>
      </c>
      <c r="I113">
        <v>0</v>
      </c>
      <c r="J113">
        <v>0</v>
      </c>
      <c r="K113">
        <f t="shared" si="1"/>
        <v>24</v>
      </c>
      <c r="L113">
        <v>0</v>
      </c>
      <c r="M113" t="str">
        <f>IF(L113=0,"",IF(#REF!&gt;0,"CONTRATISTA",IF(#REF!&gt;0,"CLIENTE","SIN_INFO")))</f>
        <v/>
      </c>
      <c r="N113" s="4" t="s">
        <v>71</v>
      </c>
    </row>
    <row r="114" spans="1:14" hidden="1">
      <c r="A114" s="2">
        <v>46182</v>
      </c>
      <c r="B114" t="s">
        <v>40</v>
      </c>
      <c r="C114" t="s">
        <v>41</v>
      </c>
      <c r="D114" t="s">
        <v>17</v>
      </c>
      <c r="E114">
        <v>6</v>
      </c>
      <c r="F114">
        <v>18</v>
      </c>
      <c r="G114">
        <v>4322</v>
      </c>
      <c r="H114">
        <v>0</v>
      </c>
      <c r="I114">
        <v>0</v>
      </c>
      <c r="J114">
        <v>0</v>
      </c>
      <c r="K114">
        <f t="shared" si="1"/>
        <v>24</v>
      </c>
      <c r="L114">
        <v>0</v>
      </c>
      <c r="M114" t="str">
        <f>IF(L114=0,"",IF(#REF!&gt;0,"CONTRATISTA",IF(#REF!&gt;0,"CLIENTE","SIN_INFO")))</f>
        <v/>
      </c>
      <c r="N114" s="4" t="s">
        <v>71</v>
      </c>
    </row>
    <row r="115" spans="1:14" hidden="1">
      <c r="A115" s="2">
        <v>46182</v>
      </c>
      <c r="B115" t="s">
        <v>40</v>
      </c>
      <c r="C115" t="s">
        <v>41</v>
      </c>
      <c r="D115" t="s">
        <v>18</v>
      </c>
      <c r="E115">
        <v>2</v>
      </c>
      <c r="F115">
        <v>22</v>
      </c>
      <c r="G115">
        <v>1647</v>
      </c>
      <c r="H115">
        <v>0</v>
      </c>
      <c r="I115">
        <v>0</v>
      </c>
      <c r="J115">
        <v>0</v>
      </c>
      <c r="K115">
        <f t="shared" si="1"/>
        <v>24</v>
      </c>
      <c r="L115">
        <v>0</v>
      </c>
      <c r="M115" t="str">
        <f>IF(L115=0,"",IF(#REF!&gt;0,"CONTRATISTA",IF(#REF!&gt;0,"CLIENTE","SIN_INFO")))</f>
        <v/>
      </c>
      <c r="N115" s="4" t="s">
        <v>71</v>
      </c>
    </row>
    <row r="116" spans="1:14" hidden="1">
      <c r="A116" s="2">
        <v>46182</v>
      </c>
      <c r="B116" t="s">
        <v>40</v>
      </c>
      <c r="C116" t="s">
        <v>42</v>
      </c>
      <c r="D116" t="s">
        <v>19</v>
      </c>
      <c r="E116">
        <v>24</v>
      </c>
      <c r="F116">
        <v>0</v>
      </c>
      <c r="G116">
        <v>9621</v>
      </c>
      <c r="H116">
        <v>0</v>
      </c>
      <c r="I116">
        <v>0</v>
      </c>
      <c r="J116">
        <v>0</v>
      </c>
      <c r="K116">
        <f t="shared" si="1"/>
        <v>24</v>
      </c>
      <c r="L116">
        <v>0</v>
      </c>
      <c r="M116" t="str">
        <f>IF(L116=0,"",IF(#REF!&gt;0,"CONTRATISTA",IF(#REF!&gt;0,"CLIENTE","SIN_INFO")))</f>
        <v/>
      </c>
      <c r="N116" s="4"/>
    </row>
    <row r="117" spans="1:14" hidden="1">
      <c r="A117" s="2">
        <v>46182</v>
      </c>
      <c r="B117" t="s">
        <v>40</v>
      </c>
      <c r="C117" t="s">
        <v>42</v>
      </c>
      <c r="D117" t="s">
        <v>20</v>
      </c>
      <c r="E117">
        <v>24</v>
      </c>
      <c r="F117">
        <v>0</v>
      </c>
      <c r="G117">
        <v>7715</v>
      </c>
      <c r="H117">
        <v>0</v>
      </c>
      <c r="I117">
        <v>0</v>
      </c>
      <c r="J117">
        <v>0</v>
      </c>
      <c r="K117">
        <f t="shared" si="1"/>
        <v>24</v>
      </c>
      <c r="L117">
        <v>0</v>
      </c>
      <c r="M117" t="str">
        <f>IF(L117=0,"",IF(#REF!&gt;0,"CONTRATISTA",IF(#REF!&gt;0,"CLIENTE","SIN_INFO")))</f>
        <v/>
      </c>
      <c r="N117" s="4"/>
    </row>
    <row r="118" spans="1:14" hidden="1">
      <c r="A118" s="2">
        <v>46182</v>
      </c>
      <c r="B118" t="s">
        <v>40</v>
      </c>
      <c r="C118" t="s">
        <v>41</v>
      </c>
      <c r="D118" t="s">
        <v>21</v>
      </c>
      <c r="E118">
        <v>5</v>
      </c>
      <c r="F118">
        <v>9</v>
      </c>
      <c r="G118">
        <v>1611</v>
      </c>
      <c r="H118">
        <v>0</v>
      </c>
      <c r="I118">
        <v>0</v>
      </c>
      <c r="J118">
        <v>10</v>
      </c>
      <c r="K118">
        <f t="shared" si="1"/>
        <v>24</v>
      </c>
      <c r="L118">
        <v>0</v>
      </c>
      <c r="M118" t="str">
        <f>IF(L118=0,"",IF(#REF!&gt;0,"CONTRATISTA",IF(#REF!&gt;0,"CLIENTE","SIN_INFO")))</f>
        <v/>
      </c>
      <c r="N118" s="4" t="s">
        <v>72</v>
      </c>
    </row>
    <row r="119" spans="1:14" hidden="1">
      <c r="A119" s="2">
        <v>46183</v>
      </c>
      <c r="B119" t="s">
        <v>40</v>
      </c>
      <c r="C119" t="s">
        <v>41</v>
      </c>
      <c r="D119" t="s">
        <v>9</v>
      </c>
      <c r="E119">
        <v>24</v>
      </c>
      <c r="F119">
        <v>0</v>
      </c>
      <c r="G119">
        <v>16102</v>
      </c>
      <c r="H119">
        <v>0</v>
      </c>
      <c r="I119">
        <v>0</v>
      </c>
      <c r="J119">
        <v>0</v>
      </c>
      <c r="K119">
        <f t="shared" si="1"/>
        <v>24</v>
      </c>
      <c r="L119">
        <v>0</v>
      </c>
      <c r="M119" t="str">
        <f>IF(L119=0,"",IF(#REF!&gt;0,"CONTRATISTA",IF(#REF!&gt;0,"CLIENTE","SIN_INFO")))</f>
        <v/>
      </c>
      <c r="N119" s="4"/>
    </row>
    <row r="120" spans="1:14" hidden="1">
      <c r="A120" s="2">
        <v>46183</v>
      </c>
      <c r="B120" t="s">
        <v>40</v>
      </c>
      <c r="C120" t="s">
        <v>41</v>
      </c>
      <c r="D120" t="s">
        <v>10</v>
      </c>
      <c r="E120">
        <v>24</v>
      </c>
      <c r="F120">
        <v>0</v>
      </c>
      <c r="G120">
        <v>14476</v>
      </c>
      <c r="H120">
        <v>0</v>
      </c>
      <c r="I120">
        <v>0</v>
      </c>
      <c r="J120">
        <v>0</v>
      </c>
      <c r="K120">
        <f t="shared" si="1"/>
        <v>24</v>
      </c>
      <c r="L120">
        <v>0</v>
      </c>
      <c r="M120" t="str">
        <f>IF(L120=0,"",IF(#REF!&gt;0,"CONTRATISTA",IF(#REF!&gt;0,"CLIENTE","SIN_INFO")))</f>
        <v/>
      </c>
      <c r="N120" s="4"/>
    </row>
    <row r="121" spans="1:14" hidden="1">
      <c r="A121" s="2">
        <v>46183</v>
      </c>
      <c r="B121" t="s">
        <v>40</v>
      </c>
      <c r="C121" t="s">
        <v>41</v>
      </c>
      <c r="D121" t="s">
        <v>11</v>
      </c>
      <c r="E121">
        <v>24</v>
      </c>
      <c r="F121">
        <v>0</v>
      </c>
      <c r="G121">
        <v>16088</v>
      </c>
      <c r="H121">
        <v>0</v>
      </c>
      <c r="I121">
        <v>0</v>
      </c>
      <c r="J121">
        <v>0</v>
      </c>
      <c r="K121">
        <f t="shared" si="1"/>
        <v>24</v>
      </c>
      <c r="L121">
        <v>0</v>
      </c>
      <c r="M121" t="str">
        <f>IF(L121=0,"",IF(#REF!&gt;0,"CONTRATISTA",IF(#REF!&gt;0,"CLIENTE","SIN_INFO")))</f>
        <v/>
      </c>
      <c r="N121" s="4"/>
    </row>
    <row r="122" spans="1:14" hidden="1">
      <c r="A122" s="2">
        <v>46183</v>
      </c>
      <c r="B122" t="s">
        <v>40</v>
      </c>
      <c r="C122" t="s">
        <v>41</v>
      </c>
      <c r="D122" t="s">
        <v>12</v>
      </c>
      <c r="E122">
        <v>24</v>
      </c>
      <c r="F122">
        <v>0</v>
      </c>
      <c r="G122">
        <v>21256</v>
      </c>
      <c r="H122">
        <v>0</v>
      </c>
      <c r="I122">
        <v>0</v>
      </c>
      <c r="J122">
        <v>0</v>
      </c>
      <c r="K122">
        <f t="shared" si="1"/>
        <v>24</v>
      </c>
      <c r="L122">
        <v>0</v>
      </c>
      <c r="M122" t="str">
        <f>IF(L122=0,"",IF(#REF!&gt;0,"CONTRATISTA",IF(#REF!&gt;0,"CLIENTE","SIN_INFO")))</f>
        <v/>
      </c>
      <c r="N122" s="4"/>
    </row>
    <row r="123" spans="1:14" hidden="1">
      <c r="A123" s="2">
        <v>46183</v>
      </c>
      <c r="B123" t="s">
        <v>40</v>
      </c>
      <c r="C123" t="s">
        <v>41</v>
      </c>
      <c r="D123" t="s">
        <v>13</v>
      </c>
      <c r="E123">
        <v>24</v>
      </c>
      <c r="F123">
        <v>0</v>
      </c>
      <c r="G123">
        <v>20367</v>
      </c>
      <c r="H123">
        <v>0</v>
      </c>
      <c r="I123">
        <v>0</v>
      </c>
      <c r="J123">
        <v>0</v>
      </c>
      <c r="K123">
        <f t="shared" si="1"/>
        <v>24</v>
      </c>
      <c r="L123">
        <v>0</v>
      </c>
      <c r="M123" t="str">
        <f>IF(L123=0,"",IF(#REF!&gt;0,"CONTRATISTA",IF(#REF!&gt;0,"CLIENTE","SIN_INFO")))</f>
        <v/>
      </c>
      <c r="N123" s="4"/>
    </row>
    <row r="124" spans="1:14" hidden="1">
      <c r="A124" s="2">
        <v>46183</v>
      </c>
      <c r="B124" t="s">
        <v>40</v>
      </c>
      <c r="C124" t="s">
        <v>41</v>
      </c>
      <c r="D124" t="s">
        <v>14</v>
      </c>
      <c r="E124">
        <v>24</v>
      </c>
      <c r="F124">
        <v>0</v>
      </c>
      <c r="G124">
        <v>20318</v>
      </c>
      <c r="H124">
        <v>0</v>
      </c>
      <c r="I124">
        <v>0</v>
      </c>
      <c r="J124">
        <v>0</v>
      </c>
      <c r="K124">
        <f t="shared" si="1"/>
        <v>24</v>
      </c>
      <c r="L124">
        <v>0</v>
      </c>
      <c r="M124" t="str">
        <f>IF(L124=0,"",IF(#REF!&gt;0,"CONTRATISTA",IF(#REF!&gt;0,"CLIENTE","SIN_INFO")))</f>
        <v/>
      </c>
      <c r="N124" s="3"/>
    </row>
    <row r="125" spans="1:14" hidden="1">
      <c r="A125" s="2">
        <v>46183</v>
      </c>
      <c r="B125" t="s">
        <v>40</v>
      </c>
      <c r="C125" t="s">
        <v>41</v>
      </c>
      <c r="D125" t="s">
        <v>15</v>
      </c>
      <c r="E125">
        <v>23</v>
      </c>
      <c r="F125">
        <v>0</v>
      </c>
      <c r="G125">
        <v>15434</v>
      </c>
      <c r="H125">
        <v>0</v>
      </c>
      <c r="I125">
        <v>0</v>
      </c>
      <c r="J125">
        <v>1</v>
      </c>
      <c r="K125">
        <f t="shared" si="1"/>
        <v>24</v>
      </c>
      <c r="L125">
        <v>0</v>
      </c>
      <c r="M125" t="str">
        <f>IF(L125=0,"",IF(#REF!&gt;0,"CONTRATISTA",IF(#REF!&gt;0,"CLIENTE","SIN_INFO")))</f>
        <v/>
      </c>
      <c r="N125" s="3" t="s">
        <v>73</v>
      </c>
    </row>
    <row r="126" spans="1:14" hidden="1">
      <c r="A126" s="2">
        <v>46183</v>
      </c>
      <c r="B126" t="s">
        <v>40</v>
      </c>
      <c r="C126" t="s">
        <v>41</v>
      </c>
      <c r="D126" t="s">
        <v>16</v>
      </c>
      <c r="E126">
        <v>2</v>
      </c>
      <c r="F126">
        <v>22</v>
      </c>
      <c r="G126">
        <v>848</v>
      </c>
      <c r="H126">
        <v>0</v>
      </c>
      <c r="I126">
        <v>0</v>
      </c>
      <c r="J126">
        <v>0</v>
      </c>
      <c r="K126">
        <f t="shared" si="1"/>
        <v>24</v>
      </c>
      <c r="L126">
        <v>0</v>
      </c>
      <c r="M126" t="str">
        <f>IF(L126=0,"",IF(#REF!&gt;0,"CONTRATISTA",IF(#REF!&gt;0,"CLIENTE","SIN_INFO")))</f>
        <v/>
      </c>
      <c r="N126" s="3" t="s">
        <v>74</v>
      </c>
    </row>
    <row r="127" spans="1:14" hidden="1">
      <c r="A127" s="2">
        <v>46183</v>
      </c>
      <c r="B127" t="s">
        <v>40</v>
      </c>
      <c r="C127" t="s">
        <v>41</v>
      </c>
      <c r="D127" t="s">
        <v>17</v>
      </c>
      <c r="E127">
        <v>0</v>
      </c>
      <c r="F127">
        <v>24</v>
      </c>
      <c r="G127">
        <v>0</v>
      </c>
      <c r="H127">
        <v>0</v>
      </c>
      <c r="I127">
        <v>0</v>
      </c>
      <c r="J127">
        <v>0</v>
      </c>
      <c r="K127">
        <f t="shared" si="1"/>
        <v>24</v>
      </c>
      <c r="L127">
        <v>0</v>
      </c>
      <c r="M127" t="str">
        <f>IF(L127=0,"",IF(#REF!&gt;0,"CONTRATISTA",IF(#REF!&gt;0,"CLIENTE","SIN_INFO")))</f>
        <v/>
      </c>
      <c r="N127" s="4"/>
    </row>
    <row r="128" spans="1:14" hidden="1">
      <c r="A128" s="2">
        <v>46183</v>
      </c>
      <c r="B128" t="s">
        <v>40</v>
      </c>
      <c r="C128" t="s">
        <v>41</v>
      </c>
      <c r="D128" t="s">
        <v>18</v>
      </c>
      <c r="E128">
        <v>0</v>
      </c>
      <c r="F128">
        <v>24</v>
      </c>
      <c r="G128">
        <v>0</v>
      </c>
      <c r="H128">
        <v>0</v>
      </c>
      <c r="I128">
        <v>0</v>
      </c>
      <c r="J128">
        <v>0</v>
      </c>
      <c r="K128">
        <f t="shared" si="1"/>
        <v>24</v>
      </c>
      <c r="L128">
        <v>0</v>
      </c>
      <c r="M128" t="str">
        <f>IF(L128=0,"",IF(#REF!&gt;0,"CONTRATISTA",IF(#REF!&gt;0,"CLIENTE","SIN_INFO")))</f>
        <v/>
      </c>
      <c r="N128" s="4"/>
    </row>
    <row r="129" spans="1:14" hidden="1">
      <c r="A129" s="2">
        <v>46183</v>
      </c>
      <c r="B129" t="s">
        <v>40</v>
      </c>
      <c r="C129" t="s">
        <v>42</v>
      </c>
      <c r="D129" t="s">
        <v>19</v>
      </c>
      <c r="E129">
        <v>24</v>
      </c>
      <c r="F129">
        <v>0</v>
      </c>
      <c r="G129">
        <v>9444</v>
      </c>
      <c r="H129">
        <v>0</v>
      </c>
      <c r="I129">
        <v>0</v>
      </c>
      <c r="J129">
        <v>0</v>
      </c>
      <c r="K129">
        <f t="shared" si="1"/>
        <v>24</v>
      </c>
      <c r="L129">
        <v>0</v>
      </c>
      <c r="M129" t="str">
        <f>IF(L129=0,"",IF(#REF!&gt;0,"CONTRATISTA",IF(#REF!&gt;0,"CLIENTE","SIN_INFO")))</f>
        <v/>
      </c>
      <c r="N129" s="4" t="s">
        <v>75</v>
      </c>
    </row>
    <row r="130" spans="1:14" hidden="1">
      <c r="A130" s="2">
        <v>46183</v>
      </c>
      <c r="B130" t="s">
        <v>40</v>
      </c>
      <c r="C130" t="s">
        <v>42</v>
      </c>
      <c r="D130" t="s">
        <v>20</v>
      </c>
      <c r="E130">
        <v>17</v>
      </c>
      <c r="F130">
        <v>0</v>
      </c>
      <c r="G130">
        <v>5688</v>
      </c>
      <c r="H130">
        <v>7</v>
      </c>
      <c r="I130">
        <v>0</v>
      </c>
      <c r="J130">
        <v>0</v>
      </c>
      <c r="K130">
        <f t="shared" si="1"/>
        <v>24</v>
      </c>
      <c r="L130">
        <v>0</v>
      </c>
      <c r="M130" t="str">
        <f>IF(L130=0,"",IF(#REF!&gt;0,"CONTRATISTA",IF(#REF!&gt;0,"CLIENTE","SIN_INFO")))</f>
        <v/>
      </c>
      <c r="N130" s="4" t="s">
        <v>76</v>
      </c>
    </row>
    <row r="131" spans="1:14" hidden="1">
      <c r="A131" s="2">
        <v>46183</v>
      </c>
      <c r="B131" t="s">
        <v>40</v>
      </c>
      <c r="C131" t="s">
        <v>41</v>
      </c>
      <c r="D131" t="s">
        <v>21</v>
      </c>
      <c r="E131">
        <v>10</v>
      </c>
      <c r="F131">
        <v>14</v>
      </c>
      <c r="G131">
        <v>3879</v>
      </c>
      <c r="H131">
        <v>0</v>
      </c>
      <c r="I131">
        <v>0</v>
      </c>
      <c r="J131">
        <v>0</v>
      </c>
      <c r="K131">
        <f t="shared" si="1"/>
        <v>24</v>
      </c>
      <c r="L131">
        <v>0</v>
      </c>
      <c r="M131" t="str">
        <f>IF(L131=0,"",IF(#REF!&gt;0,"CONTRATISTA",IF(#REF!&gt;0,"CLIENTE","SIN_INFO")))</f>
        <v/>
      </c>
      <c r="N131" s="4" t="s">
        <v>77</v>
      </c>
    </row>
    <row r="132" spans="1:14" hidden="1">
      <c r="A132" s="2">
        <v>46184</v>
      </c>
      <c r="B132" t="s">
        <v>40</v>
      </c>
      <c r="C132" t="s">
        <v>41</v>
      </c>
      <c r="D132" t="s">
        <v>9</v>
      </c>
      <c r="E132">
        <v>24</v>
      </c>
      <c r="F132">
        <v>0</v>
      </c>
      <c r="G132">
        <v>16130</v>
      </c>
      <c r="H132">
        <v>0</v>
      </c>
      <c r="I132">
        <v>0</v>
      </c>
      <c r="J132">
        <v>0</v>
      </c>
      <c r="K132">
        <f t="shared" ref="K132:K195" si="2">SUM(E132+F132+H132+I132+J132)</f>
        <v>24</v>
      </c>
      <c r="L132">
        <v>0</v>
      </c>
      <c r="M132" t="str">
        <f>IF(L132=0,"",IF(#REF!&gt;0,"CONTRATISTA",IF(#REF!&gt;0,"CLIENTE","SIN_INFO")))</f>
        <v/>
      </c>
      <c r="N132" s="4"/>
    </row>
    <row r="133" spans="1:14" hidden="1">
      <c r="A133" s="2">
        <v>46184</v>
      </c>
      <c r="B133" t="s">
        <v>40</v>
      </c>
      <c r="C133" t="s">
        <v>41</v>
      </c>
      <c r="D133" t="s">
        <v>10</v>
      </c>
      <c r="E133">
        <v>24</v>
      </c>
      <c r="F133">
        <v>0</v>
      </c>
      <c r="G133">
        <v>14247</v>
      </c>
      <c r="H133">
        <v>0</v>
      </c>
      <c r="I133">
        <v>0</v>
      </c>
      <c r="J133">
        <v>0</v>
      </c>
      <c r="K133">
        <f t="shared" si="2"/>
        <v>24</v>
      </c>
      <c r="L133">
        <v>0</v>
      </c>
      <c r="M133" t="str">
        <f>IF(L133=0,"",IF(#REF!&gt;0,"CONTRATISTA",IF(#REF!&gt;0,"CLIENTE","SIN_INFO")))</f>
        <v/>
      </c>
      <c r="N133" s="4"/>
    </row>
    <row r="134" spans="1:14">
      <c r="A134" s="2">
        <v>46184</v>
      </c>
      <c r="B134" t="s">
        <v>40</v>
      </c>
      <c r="C134" t="s">
        <v>41</v>
      </c>
      <c r="D134" t="s">
        <v>11</v>
      </c>
      <c r="E134">
        <v>19</v>
      </c>
      <c r="F134">
        <v>0</v>
      </c>
      <c r="G134">
        <v>11644</v>
      </c>
      <c r="H134">
        <v>0</v>
      </c>
      <c r="I134">
        <v>5</v>
      </c>
      <c r="J134">
        <v>0</v>
      </c>
      <c r="K134">
        <f t="shared" si="2"/>
        <v>24</v>
      </c>
      <c r="L134">
        <v>1</v>
      </c>
      <c r="M134" t="e">
        <f>IF(L134=0,"",IF(#REF!&gt;0,"CONTRATISTA",IF(#REF!&gt;0,"CLIENTE","SIN_INFO")))</f>
        <v>#REF!</v>
      </c>
      <c r="N134" s="4" t="s">
        <v>78</v>
      </c>
    </row>
    <row r="135" spans="1:14" hidden="1">
      <c r="A135" s="2">
        <v>46184</v>
      </c>
      <c r="B135" t="s">
        <v>40</v>
      </c>
      <c r="C135" t="s">
        <v>41</v>
      </c>
      <c r="D135" t="s">
        <v>12</v>
      </c>
      <c r="E135">
        <v>24</v>
      </c>
      <c r="F135">
        <v>0</v>
      </c>
      <c r="G135">
        <v>21522</v>
      </c>
      <c r="H135">
        <v>0</v>
      </c>
      <c r="I135">
        <v>0</v>
      </c>
      <c r="J135">
        <v>0</v>
      </c>
      <c r="K135">
        <f t="shared" si="2"/>
        <v>24</v>
      </c>
      <c r="L135">
        <v>0</v>
      </c>
      <c r="M135" t="str">
        <f>IF(L135=0,"",IF(#REF!&gt;0,"CONTRATISTA",IF(#REF!&gt;0,"CLIENTE","SIN_INFO")))</f>
        <v/>
      </c>
      <c r="N135" s="4"/>
    </row>
    <row r="136" spans="1:14" hidden="1">
      <c r="A136" s="2">
        <v>46184</v>
      </c>
      <c r="B136" t="s">
        <v>40</v>
      </c>
      <c r="C136" t="s">
        <v>41</v>
      </c>
      <c r="D136" t="s">
        <v>13</v>
      </c>
      <c r="E136">
        <v>24</v>
      </c>
      <c r="F136">
        <v>0</v>
      </c>
      <c r="G136">
        <v>20647</v>
      </c>
      <c r="H136">
        <v>0</v>
      </c>
      <c r="I136">
        <v>0</v>
      </c>
      <c r="J136">
        <v>0</v>
      </c>
      <c r="K136">
        <f t="shared" si="2"/>
        <v>24</v>
      </c>
      <c r="L136">
        <v>0</v>
      </c>
      <c r="M136" t="str">
        <f>IF(L136=0,"",IF(#REF!&gt;0,"CONTRATISTA",IF(#REF!&gt;0,"CLIENTE","SIN_INFO")))</f>
        <v/>
      </c>
      <c r="N136" s="3"/>
    </row>
    <row r="137" spans="1:14" hidden="1">
      <c r="A137" s="2">
        <v>46184</v>
      </c>
      <c r="B137" t="s">
        <v>40</v>
      </c>
      <c r="C137" t="s">
        <v>41</v>
      </c>
      <c r="D137" t="s">
        <v>14</v>
      </c>
      <c r="E137">
        <v>24</v>
      </c>
      <c r="F137">
        <v>0</v>
      </c>
      <c r="G137">
        <v>21093</v>
      </c>
      <c r="H137">
        <v>0</v>
      </c>
      <c r="I137">
        <v>0</v>
      </c>
      <c r="J137">
        <v>0</v>
      </c>
      <c r="K137">
        <f t="shared" si="2"/>
        <v>24</v>
      </c>
      <c r="L137">
        <v>0</v>
      </c>
      <c r="M137" t="str">
        <f>IF(L137=0,"",IF(#REF!&gt;0,"CONTRATISTA",IF(#REF!&gt;0,"CLIENTE","SIN_INFO")))</f>
        <v/>
      </c>
      <c r="N137" s="3"/>
    </row>
    <row r="138" spans="1:14" hidden="1">
      <c r="A138" s="2">
        <v>46184</v>
      </c>
      <c r="B138" t="s">
        <v>40</v>
      </c>
      <c r="C138" t="s">
        <v>41</v>
      </c>
      <c r="D138" t="s">
        <v>15</v>
      </c>
      <c r="E138">
        <v>24</v>
      </c>
      <c r="F138">
        <v>0</v>
      </c>
      <c r="G138">
        <v>16068</v>
      </c>
      <c r="H138">
        <v>0</v>
      </c>
      <c r="I138">
        <v>0</v>
      </c>
      <c r="J138">
        <v>0</v>
      </c>
      <c r="K138">
        <f t="shared" si="2"/>
        <v>24</v>
      </c>
      <c r="L138">
        <v>0</v>
      </c>
      <c r="M138" t="str">
        <f>IF(L138=0,"",IF(#REF!&gt;0,"CONTRATISTA",IF(#REF!&gt;0,"CLIENTE","SIN_INFO")))</f>
        <v/>
      </c>
      <c r="N138" s="3"/>
    </row>
    <row r="139" spans="1:14" hidden="1">
      <c r="A139" s="2">
        <v>46184</v>
      </c>
      <c r="B139" t="s">
        <v>40</v>
      </c>
      <c r="C139" t="s">
        <v>41</v>
      </c>
      <c r="D139" t="s">
        <v>21</v>
      </c>
      <c r="E139">
        <v>0</v>
      </c>
      <c r="F139">
        <v>24</v>
      </c>
      <c r="G139">
        <v>0</v>
      </c>
      <c r="H139">
        <v>0</v>
      </c>
      <c r="I139">
        <v>0</v>
      </c>
      <c r="J139">
        <v>0</v>
      </c>
      <c r="K139">
        <f t="shared" si="2"/>
        <v>24</v>
      </c>
      <c r="L139">
        <v>0</v>
      </c>
      <c r="M139" t="str">
        <f>IF(L139=0,"",IF(#REF!&gt;0,"CONTRATISTA",IF(#REF!&gt;0,"CLIENTE","SIN_INFO")))</f>
        <v/>
      </c>
      <c r="N139" s="4" t="s">
        <v>79</v>
      </c>
    </row>
    <row r="140" spans="1:14" hidden="1">
      <c r="A140" s="2">
        <v>46184</v>
      </c>
      <c r="B140" t="s">
        <v>40</v>
      </c>
      <c r="C140" t="s">
        <v>41</v>
      </c>
      <c r="D140" t="s">
        <v>16</v>
      </c>
      <c r="E140">
        <v>0</v>
      </c>
      <c r="F140">
        <v>24</v>
      </c>
      <c r="G140">
        <v>185</v>
      </c>
      <c r="H140">
        <v>0</v>
      </c>
      <c r="I140">
        <v>0</v>
      </c>
      <c r="J140">
        <v>0</v>
      </c>
      <c r="K140">
        <f t="shared" si="2"/>
        <v>24</v>
      </c>
      <c r="L140">
        <v>0</v>
      </c>
      <c r="M140" t="str">
        <f>IF(L140=0,"",IF(#REF!&gt;0,"CONTRATISTA",IF(#REF!&gt;0,"CLIENTE","SIN_INFO")))</f>
        <v/>
      </c>
      <c r="N140" s="4"/>
    </row>
    <row r="141" spans="1:14" hidden="1">
      <c r="A141" s="2">
        <v>46184</v>
      </c>
      <c r="B141" t="s">
        <v>40</v>
      </c>
      <c r="C141" t="s">
        <v>41</v>
      </c>
      <c r="D141" t="s">
        <v>17</v>
      </c>
      <c r="E141">
        <v>0</v>
      </c>
      <c r="F141">
        <v>24</v>
      </c>
      <c r="G141">
        <v>0</v>
      </c>
      <c r="H141">
        <v>0</v>
      </c>
      <c r="I141">
        <v>0</v>
      </c>
      <c r="J141">
        <v>0</v>
      </c>
      <c r="K141">
        <f t="shared" si="2"/>
        <v>24</v>
      </c>
      <c r="L141">
        <v>0</v>
      </c>
      <c r="M141" t="str">
        <f>IF(L141=0,"",IF(#REF!&gt;0,"CONTRATISTA",IF(#REF!&gt;0,"CLIENTE","SIN_INFO")))</f>
        <v/>
      </c>
      <c r="N141" s="4"/>
    </row>
    <row r="142" spans="1:14" hidden="1">
      <c r="A142" s="2">
        <v>46184</v>
      </c>
      <c r="B142" t="s">
        <v>40</v>
      </c>
      <c r="C142" t="s">
        <v>41</v>
      </c>
      <c r="D142" t="s">
        <v>18</v>
      </c>
      <c r="E142">
        <v>0</v>
      </c>
      <c r="F142">
        <v>24</v>
      </c>
      <c r="G142">
        <v>0</v>
      </c>
      <c r="H142">
        <v>0</v>
      </c>
      <c r="I142">
        <v>0</v>
      </c>
      <c r="J142">
        <v>0</v>
      </c>
      <c r="K142">
        <f t="shared" si="2"/>
        <v>24</v>
      </c>
      <c r="L142">
        <v>0</v>
      </c>
      <c r="M142" t="str">
        <f>IF(L142=0,"",IF(#REF!&gt;0,"CONTRATISTA",IF(#REF!&gt;0,"CLIENTE","SIN_INFO")))</f>
        <v/>
      </c>
      <c r="N142" s="4"/>
    </row>
    <row r="143" spans="1:14" hidden="1">
      <c r="A143" s="2">
        <v>46184</v>
      </c>
      <c r="B143" t="s">
        <v>40</v>
      </c>
      <c r="C143" t="s">
        <v>42</v>
      </c>
      <c r="D143" t="s">
        <v>19</v>
      </c>
      <c r="E143">
        <v>24</v>
      </c>
      <c r="F143">
        <v>0</v>
      </c>
      <c r="G143">
        <v>9599</v>
      </c>
      <c r="H143">
        <v>0</v>
      </c>
      <c r="I143">
        <v>0</v>
      </c>
      <c r="J143">
        <v>0</v>
      </c>
      <c r="K143">
        <f t="shared" si="2"/>
        <v>24</v>
      </c>
      <c r="L143">
        <v>0</v>
      </c>
      <c r="M143" t="str">
        <f>IF(L143=0,"",IF(#REF!&gt;0,"CONTRATISTA",IF(#REF!&gt;0,"CLIENTE","SIN_INFO")))</f>
        <v/>
      </c>
      <c r="N143" s="4"/>
    </row>
    <row r="144" spans="1:14" hidden="1">
      <c r="A144" s="2">
        <v>46184</v>
      </c>
      <c r="B144" t="s">
        <v>40</v>
      </c>
      <c r="C144" t="s">
        <v>42</v>
      </c>
      <c r="D144" t="s">
        <v>20</v>
      </c>
      <c r="E144">
        <v>24</v>
      </c>
      <c r="F144">
        <v>0</v>
      </c>
      <c r="G144">
        <v>8400</v>
      </c>
      <c r="H144">
        <v>0</v>
      </c>
      <c r="I144">
        <v>0</v>
      </c>
      <c r="J144">
        <v>0</v>
      </c>
      <c r="K144">
        <f t="shared" si="2"/>
        <v>24</v>
      </c>
      <c r="L144">
        <v>0</v>
      </c>
      <c r="M144" t="str">
        <f>IF(L144=0,"",IF(#REF!&gt;0,"CONTRATISTA",IF(#REF!&gt;0,"CLIENTE","SIN_INFO")))</f>
        <v/>
      </c>
      <c r="N144" s="4"/>
    </row>
    <row r="145" spans="1:14" hidden="1">
      <c r="A145" s="2">
        <v>46185</v>
      </c>
      <c r="B145" t="s">
        <v>40</v>
      </c>
      <c r="C145" t="s">
        <v>41</v>
      </c>
      <c r="D145" t="s">
        <v>9</v>
      </c>
      <c r="E145">
        <v>18</v>
      </c>
      <c r="F145">
        <v>6</v>
      </c>
      <c r="G145">
        <v>11901</v>
      </c>
      <c r="H145">
        <v>0</v>
      </c>
      <c r="I145">
        <v>0</v>
      </c>
      <c r="J145">
        <v>0</v>
      </c>
      <c r="K145">
        <f t="shared" si="2"/>
        <v>24</v>
      </c>
      <c r="L145">
        <v>0</v>
      </c>
      <c r="M145" t="str">
        <f>IF(L145=0,"",IF(#REF!&gt;0,"CONTRATISTA",IF(#REF!&gt;0,"CLIENTE","SIN_INFO")))</f>
        <v/>
      </c>
      <c r="N145" s="4" t="s">
        <v>80</v>
      </c>
    </row>
    <row r="146" spans="1:14" hidden="1">
      <c r="A146" s="2">
        <v>46185</v>
      </c>
      <c r="B146" t="s">
        <v>40</v>
      </c>
      <c r="C146" t="s">
        <v>41</v>
      </c>
      <c r="D146" t="s">
        <v>10</v>
      </c>
      <c r="E146">
        <v>22</v>
      </c>
      <c r="F146">
        <v>2</v>
      </c>
      <c r="G146">
        <v>13111</v>
      </c>
      <c r="H146">
        <v>0</v>
      </c>
      <c r="I146">
        <v>0</v>
      </c>
      <c r="J146">
        <v>0</v>
      </c>
      <c r="K146">
        <f t="shared" si="2"/>
        <v>24</v>
      </c>
      <c r="L146">
        <v>0</v>
      </c>
      <c r="M146" t="str">
        <f>IF(L146=0,"",IF(#REF!&gt;0,"CONTRATISTA",IF(#REF!&gt;0,"CLIENTE","SIN_INFO")))</f>
        <v/>
      </c>
      <c r="N146" s="3" t="s">
        <v>80</v>
      </c>
    </row>
    <row r="147" spans="1:14" hidden="1">
      <c r="A147" s="2">
        <v>46185</v>
      </c>
      <c r="B147" t="s">
        <v>40</v>
      </c>
      <c r="C147" t="s">
        <v>41</v>
      </c>
      <c r="D147" t="s">
        <v>11</v>
      </c>
      <c r="E147">
        <v>19</v>
      </c>
      <c r="F147">
        <v>5</v>
      </c>
      <c r="G147">
        <v>11704</v>
      </c>
      <c r="H147">
        <v>0</v>
      </c>
      <c r="I147">
        <v>0</v>
      </c>
      <c r="J147">
        <v>0</v>
      </c>
      <c r="K147">
        <f t="shared" si="2"/>
        <v>24</v>
      </c>
      <c r="L147">
        <v>0</v>
      </c>
      <c r="M147" t="str">
        <f>IF(L147=0,"",IF(#REF!&gt;0,"CONTRATISTA",IF(#REF!&gt;0,"CLIENTE","SIN_INFO")))</f>
        <v/>
      </c>
      <c r="N147" s="3" t="s">
        <v>80</v>
      </c>
    </row>
    <row r="148" spans="1:14" hidden="1">
      <c r="A148" s="2">
        <v>46185</v>
      </c>
      <c r="B148" t="s">
        <v>40</v>
      </c>
      <c r="C148" t="s">
        <v>41</v>
      </c>
      <c r="D148" t="s">
        <v>12</v>
      </c>
      <c r="E148">
        <v>22</v>
      </c>
      <c r="F148">
        <v>2</v>
      </c>
      <c r="G148">
        <v>18021</v>
      </c>
      <c r="H148">
        <v>0</v>
      </c>
      <c r="I148">
        <v>0</v>
      </c>
      <c r="J148">
        <v>0</v>
      </c>
      <c r="K148">
        <f t="shared" si="2"/>
        <v>24</v>
      </c>
      <c r="L148">
        <v>0</v>
      </c>
      <c r="M148" t="str">
        <f>IF(L148=0,"",IF(#REF!&gt;0,"CONTRATISTA",IF(#REF!&gt;0,"CLIENTE","SIN_INFO")))</f>
        <v/>
      </c>
      <c r="N148" s="3" t="s">
        <v>80</v>
      </c>
    </row>
    <row r="149" spans="1:14" hidden="1">
      <c r="A149" s="2">
        <v>46185</v>
      </c>
      <c r="B149" t="s">
        <v>40</v>
      </c>
      <c r="C149" t="s">
        <v>41</v>
      </c>
      <c r="D149" t="s">
        <v>13</v>
      </c>
      <c r="E149">
        <v>23</v>
      </c>
      <c r="F149">
        <v>1</v>
      </c>
      <c r="G149">
        <v>18286</v>
      </c>
      <c r="H149">
        <v>0</v>
      </c>
      <c r="I149">
        <v>0</v>
      </c>
      <c r="J149">
        <v>0</v>
      </c>
      <c r="K149">
        <f t="shared" si="2"/>
        <v>24</v>
      </c>
      <c r="L149">
        <v>0</v>
      </c>
      <c r="M149" t="str">
        <f>IF(L149=0,"",IF(#REF!&gt;0,"CONTRATISTA",IF(#REF!&gt;0,"CLIENTE","SIN_INFO")))</f>
        <v/>
      </c>
      <c r="N149" s="4" t="s">
        <v>80</v>
      </c>
    </row>
    <row r="150" spans="1:14" hidden="1">
      <c r="A150" s="2">
        <v>46185</v>
      </c>
      <c r="B150" t="s">
        <v>40</v>
      </c>
      <c r="C150" t="s">
        <v>41</v>
      </c>
      <c r="D150" t="s">
        <v>14</v>
      </c>
      <c r="E150">
        <v>19</v>
      </c>
      <c r="F150">
        <v>5</v>
      </c>
      <c r="G150">
        <v>14880</v>
      </c>
      <c r="H150">
        <v>0</v>
      </c>
      <c r="I150">
        <v>0</v>
      </c>
      <c r="J150">
        <v>0</v>
      </c>
      <c r="K150">
        <f t="shared" si="2"/>
        <v>24</v>
      </c>
      <c r="L150">
        <v>0</v>
      </c>
      <c r="M150" t="str">
        <f>IF(L150=0,"",IF(#REF!&gt;0,"CONTRATISTA",IF(#REF!&gt;0,"CLIENTE","SIN_INFO")))</f>
        <v/>
      </c>
      <c r="N150" s="4" t="s">
        <v>80</v>
      </c>
    </row>
    <row r="151" spans="1:14" hidden="1">
      <c r="A151" s="2">
        <v>46185</v>
      </c>
      <c r="B151" t="s">
        <v>40</v>
      </c>
      <c r="C151" t="s">
        <v>41</v>
      </c>
      <c r="D151" t="s">
        <v>15</v>
      </c>
      <c r="E151">
        <v>19</v>
      </c>
      <c r="F151">
        <v>5</v>
      </c>
      <c r="G151">
        <v>12982</v>
      </c>
      <c r="H151">
        <v>0</v>
      </c>
      <c r="I151">
        <v>0</v>
      </c>
      <c r="J151">
        <v>0</v>
      </c>
      <c r="K151">
        <f t="shared" si="2"/>
        <v>24</v>
      </c>
      <c r="L151">
        <v>0</v>
      </c>
      <c r="M151" t="str">
        <f>IF(L151=0,"",IF(#REF!&gt;0,"CONTRATISTA",IF(#REF!&gt;0,"CLIENTE","SIN_INFO")))</f>
        <v/>
      </c>
      <c r="N151" s="4" t="s">
        <v>80</v>
      </c>
    </row>
    <row r="152" spans="1:14" hidden="1">
      <c r="A152" s="2">
        <v>46185</v>
      </c>
      <c r="B152" t="s">
        <v>40</v>
      </c>
      <c r="C152" t="s">
        <v>41</v>
      </c>
      <c r="D152" t="s">
        <v>21</v>
      </c>
      <c r="E152">
        <v>11</v>
      </c>
      <c r="F152">
        <v>13</v>
      </c>
      <c r="G152">
        <v>4244</v>
      </c>
      <c r="H152">
        <v>0</v>
      </c>
      <c r="I152">
        <v>0</v>
      </c>
      <c r="J152">
        <v>0</v>
      </c>
      <c r="K152">
        <f t="shared" si="2"/>
        <v>24</v>
      </c>
      <c r="L152">
        <v>0</v>
      </c>
      <c r="M152" t="str">
        <f>IF(L152=0,"",IF(#REF!&gt;0,"CONTRATISTA",IF(#REF!&gt;0,"CLIENTE","SIN_INFO")))</f>
        <v/>
      </c>
      <c r="N152" s="4" t="s">
        <v>81</v>
      </c>
    </row>
    <row r="153" spans="1:14" hidden="1">
      <c r="A153" s="2">
        <v>46185</v>
      </c>
      <c r="B153" t="s">
        <v>40</v>
      </c>
      <c r="C153" t="s">
        <v>41</v>
      </c>
      <c r="D153" t="s">
        <v>22</v>
      </c>
      <c r="E153">
        <v>6</v>
      </c>
      <c r="F153">
        <v>18</v>
      </c>
      <c r="G153">
        <v>1602</v>
      </c>
      <c r="H153">
        <v>0</v>
      </c>
      <c r="I153">
        <v>0</v>
      </c>
      <c r="J153">
        <v>0</v>
      </c>
      <c r="K153">
        <f t="shared" si="2"/>
        <v>24</v>
      </c>
      <c r="L153">
        <v>0</v>
      </c>
      <c r="M153" t="str">
        <f>IF(L153=0,"",IF(#REF!&gt;0,"CONTRATISTA",IF(#REF!&gt;0,"CLIENTE","SIN_INFO")))</f>
        <v/>
      </c>
      <c r="N153" s="4" t="s">
        <v>82</v>
      </c>
    </row>
    <row r="154" spans="1:14" hidden="1">
      <c r="A154" s="2">
        <v>46185</v>
      </c>
      <c r="B154" t="s">
        <v>40</v>
      </c>
      <c r="C154" t="s">
        <v>41</v>
      </c>
      <c r="D154" t="s">
        <v>23</v>
      </c>
      <c r="E154">
        <v>3</v>
      </c>
      <c r="F154">
        <v>21</v>
      </c>
      <c r="G154">
        <v>1356</v>
      </c>
      <c r="H154">
        <v>0</v>
      </c>
      <c r="I154">
        <v>0</v>
      </c>
      <c r="J154">
        <v>0</v>
      </c>
      <c r="K154">
        <f t="shared" si="2"/>
        <v>24</v>
      </c>
      <c r="L154">
        <v>0</v>
      </c>
      <c r="M154" t="str">
        <f>IF(L154=0,"",IF(#REF!&gt;0,"CONTRATISTA",IF(#REF!&gt;0,"CLIENTE","SIN_INFO")))</f>
        <v/>
      </c>
      <c r="N154" s="4" t="s">
        <v>82</v>
      </c>
    </row>
    <row r="155" spans="1:14" hidden="1">
      <c r="A155" s="2">
        <v>46185</v>
      </c>
      <c r="B155" t="s">
        <v>40</v>
      </c>
      <c r="C155" t="s">
        <v>41</v>
      </c>
      <c r="D155" t="s">
        <v>16</v>
      </c>
      <c r="E155">
        <v>3</v>
      </c>
      <c r="F155">
        <v>21</v>
      </c>
      <c r="G155">
        <v>8302</v>
      </c>
      <c r="H155">
        <v>0</v>
      </c>
      <c r="I155">
        <v>0</v>
      </c>
      <c r="J155">
        <v>0</v>
      </c>
      <c r="K155">
        <f t="shared" si="2"/>
        <v>24</v>
      </c>
      <c r="L155">
        <v>0</v>
      </c>
      <c r="M155" t="str">
        <f>IF(L155=0,"",IF(#REF!&gt;0,"CONTRATISTA",IF(#REF!&gt;0,"CLIENTE","SIN_INFO")))</f>
        <v/>
      </c>
      <c r="N155" s="4" t="s">
        <v>80</v>
      </c>
    </row>
    <row r="156" spans="1:14" hidden="1">
      <c r="A156" s="2">
        <v>46185</v>
      </c>
      <c r="B156" t="s">
        <v>40</v>
      </c>
      <c r="C156" t="s">
        <v>41</v>
      </c>
      <c r="D156" t="s">
        <v>17</v>
      </c>
      <c r="E156">
        <v>7</v>
      </c>
      <c r="F156">
        <v>17</v>
      </c>
      <c r="G156">
        <v>8064</v>
      </c>
      <c r="H156">
        <v>0</v>
      </c>
      <c r="I156">
        <v>0</v>
      </c>
      <c r="J156">
        <v>0</v>
      </c>
      <c r="K156">
        <f t="shared" si="2"/>
        <v>24</v>
      </c>
      <c r="L156">
        <v>0</v>
      </c>
      <c r="M156" t="str">
        <f>IF(L156=0,"",IF(#REF!&gt;0,"CONTRATISTA",IF(#REF!&gt;0,"CLIENTE","SIN_INFO")))</f>
        <v/>
      </c>
      <c r="N156" s="4" t="s">
        <v>80</v>
      </c>
    </row>
    <row r="157" spans="1:14" hidden="1">
      <c r="A157" s="2">
        <v>46185</v>
      </c>
      <c r="B157" t="s">
        <v>40</v>
      </c>
      <c r="C157" t="s">
        <v>41</v>
      </c>
      <c r="D157" t="s">
        <v>18</v>
      </c>
      <c r="E157">
        <v>7</v>
      </c>
      <c r="F157">
        <v>17</v>
      </c>
      <c r="G157">
        <v>4244</v>
      </c>
      <c r="H157">
        <v>0</v>
      </c>
      <c r="I157">
        <v>0</v>
      </c>
      <c r="J157">
        <v>0</v>
      </c>
      <c r="K157">
        <f t="shared" si="2"/>
        <v>24</v>
      </c>
      <c r="L157">
        <v>0</v>
      </c>
      <c r="M157" t="str">
        <f>IF(L157=0,"",IF(#REF!&gt;0,"CONTRATISTA",IF(#REF!&gt;0,"CLIENTE","SIN_INFO")))</f>
        <v/>
      </c>
      <c r="N157" s="4" t="s">
        <v>80</v>
      </c>
    </row>
    <row r="158" spans="1:14" hidden="1">
      <c r="A158" s="2">
        <v>46185</v>
      </c>
      <c r="B158" t="s">
        <v>40</v>
      </c>
      <c r="C158" t="s">
        <v>42</v>
      </c>
      <c r="D158" t="s">
        <v>19</v>
      </c>
      <c r="E158">
        <v>21</v>
      </c>
      <c r="F158">
        <v>3</v>
      </c>
      <c r="G158">
        <v>1602</v>
      </c>
      <c r="H158">
        <v>0</v>
      </c>
      <c r="I158">
        <v>0</v>
      </c>
      <c r="J158">
        <v>0</v>
      </c>
      <c r="K158">
        <f t="shared" si="2"/>
        <v>24</v>
      </c>
      <c r="L158">
        <v>0</v>
      </c>
      <c r="M158" t="str">
        <f>IF(L158=0,"",IF(#REF!&gt;0,"CONTRATISTA",IF(#REF!&gt;0,"CLIENTE","SIN_INFO")))</f>
        <v/>
      </c>
      <c r="N158" s="3" t="s">
        <v>80</v>
      </c>
    </row>
    <row r="159" spans="1:14" hidden="1">
      <c r="A159" s="2">
        <v>46185</v>
      </c>
      <c r="B159" t="s">
        <v>40</v>
      </c>
      <c r="C159" t="s">
        <v>42</v>
      </c>
      <c r="D159" t="s">
        <v>20</v>
      </c>
      <c r="E159">
        <v>21</v>
      </c>
      <c r="F159">
        <v>3</v>
      </c>
      <c r="G159">
        <v>1356</v>
      </c>
      <c r="H159">
        <v>0</v>
      </c>
      <c r="I159">
        <v>0</v>
      </c>
      <c r="J159">
        <v>0</v>
      </c>
      <c r="K159">
        <f t="shared" si="2"/>
        <v>24</v>
      </c>
      <c r="L159">
        <v>0</v>
      </c>
      <c r="M159" t="str">
        <f>IF(L159=0,"",IF(#REF!&gt;0,"CONTRATISTA",IF(#REF!&gt;0,"CLIENTE","SIN_INFO")))</f>
        <v/>
      </c>
      <c r="N159" s="3" t="s">
        <v>80</v>
      </c>
    </row>
    <row r="160" spans="1:14" hidden="1">
      <c r="A160" s="2">
        <v>46186</v>
      </c>
      <c r="B160" t="s">
        <v>40</v>
      </c>
      <c r="C160" t="s">
        <v>41</v>
      </c>
      <c r="D160" t="s">
        <v>9</v>
      </c>
      <c r="E160">
        <v>24</v>
      </c>
      <c r="F160">
        <v>0</v>
      </c>
      <c r="G160">
        <v>15621</v>
      </c>
      <c r="H160">
        <v>0</v>
      </c>
      <c r="I160">
        <v>0</v>
      </c>
      <c r="J160">
        <v>0</v>
      </c>
      <c r="K160">
        <f t="shared" si="2"/>
        <v>24</v>
      </c>
      <c r="L160">
        <v>0</v>
      </c>
      <c r="M160" t="str">
        <f>IF(L160=0,"",IF(#REF!&gt;0,"CONTRATISTA",IF(#REF!&gt;0,"CLIENTE","SIN_INFO")))</f>
        <v/>
      </c>
      <c r="N160" s="3"/>
    </row>
    <row r="161" spans="1:14" hidden="1">
      <c r="A161" s="2">
        <v>46186</v>
      </c>
      <c r="B161" t="s">
        <v>40</v>
      </c>
      <c r="C161" t="s">
        <v>41</v>
      </c>
      <c r="D161" t="s">
        <v>10</v>
      </c>
      <c r="E161">
        <v>24</v>
      </c>
      <c r="F161">
        <v>0</v>
      </c>
      <c r="G161">
        <v>15536</v>
      </c>
      <c r="H161">
        <v>0</v>
      </c>
      <c r="I161">
        <v>0</v>
      </c>
      <c r="J161">
        <v>0</v>
      </c>
      <c r="K161">
        <f t="shared" si="2"/>
        <v>24</v>
      </c>
      <c r="L161">
        <v>0</v>
      </c>
      <c r="M161" t="str">
        <f>IF(L161=0,"",IF(#REF!&gt;0,"CONTRATISTA",IF(#REF!&gt;0,"CLIENTE","SIN_INFO")))</f>
        <v/>
      </c>
      <c r="N161" s="3"/>
    </row>
    <row r="162" spans="1:14" hidden="1">
      <c r="A162" s="2">
        <v>46186</v>
      </c>
      <c r="B162" t="s">
        <v>40</v>
      </c>
      <c r="C162" t="s">
        <v>41</v>
      </c>
      <c r="D162" t="s">
        <v>11</v>
      </c>
      <c r="E162">
        <v>24</v>
      </c>
      <c r="F162">
        <v>0</v>
      </c>
      <c r="G162">
        <v>15135</v>
      </c>
      <c r="H162">
        <v>0</v>
      </c>
      <c r="I162">
        <v>0</v>
      </c>
      <c r="J162">
        <v>0</v>
      </c>
      <c r="K162">
        <f t="shared" si="2"/>
        <v>24</v>
      </c>
      <c r="L162">
        <v>0</v>
      </c>
      <c r="M162" t="str">
        <f>IF(L162=0,"",IF(#REF!&gt;0,"CONTRATISTA",IF(#REF!&gt;0,"CLIENTE","SIN_INFO")))</f>
        <v/>
      </c>
      <c r="N162" s="4"/>
    </row>
    <row r="163" spans="1:14" hidden="1">
      <c r="A163" s="2">
        <v>46186</v>
      </c>
      <c r="B163" t="s">
        <v>40</v>
      </c>
      <c r="C163" t="s">
        <v>41</v>
      </c>
      <c r="D163" t="s">
        <v>12</v>
      </c>
      <c r="E163">
        <v>24</v>
      </c>
      <c r="F163">
        <v>0</v>
      </c>
      <c r="G163">
        <v>20831</v>
      </c>
      <c r="H163">
        <v>0</v>
      </c>
      <c r="I163">
        <v>0</v>
      </c>
      <c r="J163">
        <v>0</v>
      </c>
      <c r="K163">
        <f t="shared" si="2"/>
        <v>24</v>
      </c>
      <c r="L163">
        <v>0</v>
      </c>
      <c r="M163" t="str">
        <f>IF(L163=0,"",IF(#REF!&gt;0,"CONTRATISTA",IF(#REF!&gt;0,"CLIENTE","SIN_INFO")))</f>
        <v/>
      </c>
      <c r="N163" s="4"/>
    </row>
    <row r="164" spans="1:14" hidden="1">
      <c r="A164" s="2">
        <v>46186</v>
      </c>
      <c r="B164" t="s">
        <v>40</v>
      </c>
      <c r="C164" t="s">
        <v>41</v>
      </c>
      <c r="D164" t="s">
        <v>13</v>
      </c>
      <c r="E164">
        <v>24</v>
      </c>
      <c r="F164">
        <v>0</v>
      </c>
      <c r="G164">
        <v>20827</v>
      </c>
      <c r="H164">
        <v>0</v>
      </c>
      <c r="I164">
        <v>0</v>
      </c>
      <c r="J164">
        <v>0</v>
      </c>
      <c r="K164">
        <f t="shared" si="2"/>
        <v>24</v>
      </c>
      <c r="L164">
        <v>0</v>
      </c>
      <c r="M164" t="str">
        <f>IF(L164=0,"",IF(#REF!&gt;0,"CONTRATISTA",IF(#REF!&gt;0,"CLIENTE","SIN_INFO")))</f>
        <v/>
      </c>
      <c r="N164" s="4"/>
    </row>
    <row r="165" spans="1:14" hidden="1">
      <c r="A165" s="2">
        <v>46186</v>
      </c>
      <c r="B165" t="s">
        <v>40</v>
      </c>
      <c r="C165" t="s">
        <v>41</v>
      </c>
      <c r="D165" t="s">
        <v>14</v>
      </c>
      <c r="E165">
        <v>24</v>
      </c>
      <c r="F165">
        <v>0</v>
      </c>
      <c r="G165">
        <v>21212</v>
      </c>
      <c r="H165">
        <v>0</v>
      </c>
      <c r="I165">
        <v>0</v>
      </c>
      <c r="J165">
        <v>0</v>
      </c>
      <c r="K165">
        <f t="shared" si="2"/>
        <v>24</v>
      </c>
      <c r="L165">
        <v>0</v>
      </c>
      <c r="M165" t="str">
        <f>IF(L165=0,"",IF(#REF!&gt;0,"CONTRATISTA",IF(#REF!&gt;0,"CLIENTE","SIN_INFO")))</f>
        <v/>
      </c>
      <c r="N165" s="4"/>
    </row>
    <row r="166" spans="1:14" hidden="1">
      <c r="A166" s="2">
        <v>46186</v>
      </c>
      <c r="B166" t="s">
        <v>40</v>
      </c>
      <c r="C166" t="s">
        <v>41</v>
      </c>
      <c r="D166" t="s">
        <v>15</v>
      </c>
      <c r="E166">
        <v>24</v>
      </c>
      <c r="F166">
        <v>0</v>
      </c>
      <c r="G166">
        <v>16000</v>
      </c>
      <c r="H166">
        <v>0</v>
      </c>
      <c r="I166">
        <v>0</v>
      </c>
      <c r="J166">
        <v>0</v>
      </c>
      <c r="K166">
        <f t="shared" si="2"/>
        <v>24</v>
      </c>
      <c r="L166">
        <v>0</v>
      </c>
      <c r="M166" t="str">
        <f>IF(L166=0,"",IF(#REF!&gt;0,"CONTRATISTA",IF(#REF!&gt;0,"CLIENTE","SIN_INFO")))</f>
        <v/>
      </c>
      <c r="N166" s="4"/>
    </row>
    <row r="167" spans="1:14" hidden="1">
      <c r="A167" s="2">
        <v>46186</v>
      </c>
      <c r="B167" t="s">
        <v>40</v>
      </c>
      <c r="C167" t="s">
        <v>41</v>
      </c>
      <c r="D167" t="s">
        <v>21</v>
      </c>
      <c r="E167">
        <v>15</v>
      </c>
      <c r="F167">
        <v>9</v>
      </c>
      <c r="G167">
        <v>5782</v>
      </c>
      <c r="H167">
        <v>0</v>
      </c>
      <c r="I167">
        <v>0</v>
      </c>
      <c r="J167">
        <v>0</v>
      </c>
      <c r="K167">
        <f t="shared" si="2"/>
        <v>24</v>
      </c>
      <c r="L167">
        <v>0</v>
      </c>
      <c r="M167" t="str">
        <f>IF(L167=0,"",IF(#REF!&gt;0,"CONTRATISTA",IF(#REF!&gt;0,"CLIENTE","SIN_INFO")))</f>
        <v/>
      </c>
      <c r="N167" s="4"/>
    </row>
    <row r="168" spans="1:14" hidden="1">
      <c r="A168" s="2">
        <v>46186</v>
      </c>
      <c r="B168" t="s">
        <v>40</v>
      </c>
      <c r="C168" t="s">
        <v>41</v>
      </c>
      <c r="D168" t="s">
        <v>22</v>
      </c>
      <c r="E168">
        <v>14</v>
      </c>
      <c r="F168">
        <v>10</v>
      </c>
      <c r="G168">
        <v>5802</v>
      </c>
      <c r="H168">
        <v>0</v>
      </c>
      <c r="I168">
        <v>0</v>
      </c>
      <c r="J168">
        <v>0</v>
      </c>
      <c r="K168">
        <f t="shared" si="2"/>
        <v>24</v>
      </c>
      <c r="L168">
        <v>0</v>
      </c>
      <c r="M168" t="str">
        <f>IF(L168=0,"",IF(#REF!&gt;0,"CONTRATISTA",IF(#REF!&gt;0,"CLIENTE","SIN_INFO")))</f>
        <v/>
      </c>
      <c r="N168" s="4"/>
    </row>
    <row r="169" spans="1:14" hidden="1">
      <c r="A169" s="2">
        <v>46186</v>
      </c>
      <c r="B169" t="s">
        <v>40</v>
      </c>
      <c r="C169" t="s">
        <v>41</v>
      </c>
      <c r="D169" t="s">
        <v>23</v>
      </c>
      <c r="E169">
        <v>0</v>
      </c>
      <c r="F169">
        <v>24</v>
      </c>
      <c r="G169">
        <v>0</v>
      </c>
      <c r="H169">
        <v>0</v>
      </c>
      <c r="I169">
        <v>0</v>
      </c>
      <c r="J169">
        <v>0</v>
      </c>
      <c r="K169">
        <f t="shared" si="2"/>
        <v>24</v>
      </c>
      <c r="L169">
        <v>0</v>
      </c>
      <c r="M169" t="str">
        <f>IF(L169=0,"",IF(#REF!&gt;0,"CONTRATISTA",IF(#REF!&gt;0,"CLIENTE","SIN_INFO")))</f>
        <v/>
      </c>
      <c r="N169" s="3"/>
    </row>
    <row r="170" spans="1:14" hidden="1">
      <c r="A170" s="2">
        <v>46186</v>
      </c>
      <c r="B170" t="s">
        <v>40</v>
      </c>
      <c r="C170" t="s">
        <v>41</v>
      </c>
      <c r="D170" t="s">
        <v>16</v>
      </c>
      <c r="E170">
        <v>0</v>
      </c>
      <c r="F170">
        <v>24</v>
      </c>
      <c r="G170">
        <v>0</v>
      </c>
      <c r="H170">
        <v>0</v>
      </c>
      <c r="I170">
        <v>0</v>
      </c>
      <c r="J170">
        <v>0</v>
      </c>
      <c r="K170">
        <f t="shared" si="2"/>
        <v>24</v>
      </c>
      <c r="L170">
        <v>0</v>
      </c>
      <c r="M170" t="str">
        <f>IF(L170=0,"",IF(#REF!&gt;0,"CONTRATISTA",IF(#REF!&gt;0,"CLIENTE","SIN_INFO")))</f>
        <v/>
      </c>
      <c r="N170" s="3"/>
    </row>
    <row r="171" spans="1:14" hidden="1">
      <c r="A171" s="2">
        <v>46186</v>
      </c>
      <c r="B171" t="s">
        <v>40</v>
      </c>
      <c r="C171" t="s">
        <v>41</v>
      </c>
      <c r="D171" t="s">
        <v>17</v>
      </c>
      <c r="E171">
        <v>2</v>
      </c>
      <c r="F171">
        <v>22</v>
      </c>
      <c r="G171">
        <v>1788</v>
      </c>
      <c r="H171">
        <v>0</v>
      </c>
      <c r="I171">
        <v>0</v>
      </c>
      <c r="J171">
        <v>0</v>
      </c>
      <c r="K171">
        <f t="shared" si="2"/>
        <v>24</v>
      </c>
      <c r="L171">
        <v>0</v>
      </c>
      <c r="M171" t="str">
        <f>IF(L171=0,"",IF(#REF!&gt;0,"CONTRATISTA",IF(#REF!&gt;0,"CLIENTE","SIN_INFO")))</f>
        <v/>
      </c>
      <c r="N171" s="3" t="s">
        <v>83</v>
      </c>
    </row>
    <row r="172" spans="1:14" hidden="1">
      <c r="A172" s="2">
        <v>46186</v>
      </c>
      <c r="B172" t="s">
        <v>40</v>
      </c>
      <c r="C172" t="s">
        <v>41</v>
      </c>
      <c r="D172" t="s">
        <v>18</v>
      </c>
      <c r="E172">
        <v>0</v>
      </c>
      <c r="F172">
        <v>24</v>
      </c>
      <c r="G172">
        <v>0</v>
      </c>
      <c r="H172">
        <v>0</v>
      </c>
      <c r="I172">
        <v>0</v>
      </c>
      <c r="J172">
        <v>0</v>
      </c>
      <c r="K172">
        <f t="shared" si="2"/>
        <v>24</v>
      </c>
      <c r="L172">
        <v>0</v>
      </c>
      <c r="M172" t="str">
        <f>IF(L172=0,"",IF(#REF!&gt;0,"CONTRATISTA",IF(#REF!&gt;0,"CLIENTE","SIN_INFO")))</f>
        <v/>
      </c>
      <c r="N172" s="3"/>
    </row>
    <row r="173" spans="1:14" hidden="1">
      <c r="A173" s="2">
        <v>46186</v>
      </c>
      <c r="B173" t="s">
        <v>40</v>
      </c>
      <c r="C173" t="s">
        <v>42</v>
      </c>
      <c r="D173" t="s">
        <v>19</v>
      </c>
      <c r="E173">
        <v>24</v>
      </c>
      <c r="F173">
        <v>0</v>
      </c>
      <c r="G173">
        <v>5802</v>
      </c>
      <c r="H173">
        <v>0</v>
      </c>
      <c r="I173">
        <v>0</v>
      </c>
      <c r="J173">
        <v>0</v>
      </c>
      <c r="K173">
        <f t="shared" si="2"/>
        <v>24</v>
      </c>
      <c r="L173">
        <v>0</v>
      </c>
      <c r="M173" t="str">
        <f>IF(L173=0,"",IF(#REF!&gt;0,"CONTRATISTA",IF(#REF!&gt;0,"CLIENTE","SIN_INFO")))</f>
        <v/>
      </c>
      <c r="N173" s="3"/>
    </row>
    <row r="174" spans="1:14" hidden="1">
      <c r="A174" s="2">
        <v>46186</v>
      </c>
      <c r="B174" t="s">
        <v>40</v>
      </c>
      <c r="C174" t="s">
        <v>42</v>
      </c>
      <c r="D174" t="s">
        <v>20</v>
      </c>
      <c r="E174">
        <v>24</v>
      </c>
      <c r="F174">
        <v>0</v>
      </c>
      <c r="G174">
        <v>0</v>
      </c>
      <c r="H174">
        <v>0</v>
      </c>
      <c r="I174">
        <v>0</v>
      </c>
      <c r="J174">
        <v>0</v>
      </c>
      <c r="K174">
        <f t="shared" si="2"/>
        <v>24</v>
      </c>
      <c r="L174">
        <v>0</v>
      </c>
      <c r="M174" t="str">
        <f>IF(L174=0,"",IF(#REF!&gt;0,"CONTRATISTA",IF(#REF!&gt;0,"CLIENTE","SIN_INFO")))</f>
        <v/>
      </c>
      <c r="N174" s="4"/>
    </row>
    <row r="175" spans="1:14" hidden="1">
      <c r="A175" s="2">
        <v>46187</v>
      </c>
      <c r="B175" t="s">
        <v>40</v>
      </c>
      <c r="C175" t="s">
        <v>41</v>
      </c>
      <c r="D175" t="s">
        <v>9</v>
      </c>
      <c r="E175">
        <v>24</v>
      </c>
      <c r="F175">
        <v>0</v>
      </c>
      <c r="G175">
        <v>16081</v>
      </c>
      <c r="H175">
        <v>0</v>
      </c>
      <c r="I175">
        <v>0</v>
      </c>
      <c r="J175">
        <v>0</v>
      </c>
      <c r="K175">
        <f t="shared" si="2"/>
        <v>24</v>
      </c>
      <c r="L175">
        <v>0</v>
      </c>
      <c r="M175" t="str">
        <f>IF(L175=0,"",IF(#REF!&gt;0,"CONTRATISTA",IF(#REF!&gt;0,"CLIENTE","SIN_INFO")))</f>
        <v/>
      </c>
      <c r="N175" s="4"/>
    </row>
    <row r="176" spans="1:14" hidden="1">
      <c r="A176" s="2">
        <v>46187</v>
      </c>
      <c r="B176" t="s">
        <v>40</v>
      </c>
      <c r="C176" t="s">
        <v>41</v>
      </c>
      <c r="D176" t="s">
        <v>10</v>
      </c>
      <c r="E176">
        <v>24</v>
      </c>
      <c r="F176">
        <v>0</v>
      </c>
      <c r="G176">
        <v>15924</v>
      </c>
      <c r="H176">
        <v>0</v>
      </c>
      <c r="I176">
        <v>0</v>
      </c>
      <c r="J176">
        <v>0</v>
      </c>
      <c r="K176">
        <f t="shared" si="2"/>
        <v>24</v>
      </c>
      <c r="L176">
        <v>0</v>
      </c>
      <c r="M176" t="str">
        <f>IF(L176=0,"",IF(#REF!&gt;0,"CONTRATISTA",IF(#REF!&gt;0,"CLIENTE","SIN_INFO")))</f>
        <v/>
      </c>
      <c r="N176" s="4"/>
    </row>
    <row r="177" spans="1:14" hidden="1">
      <c r="A177" s="2">
        <v>46187</v>
      </c>
      <c r="B177" t="s">
        <v>40</v>
      </c>
      <c r="C177" t="s">
        <v>41</v>
      </c>
      <c r="D177" t="s">
        <v>11</v>
      </c>
      <c r="E177">
        <v>24</v>
      </c>
      <c r="F177">
        <v>0</v>
      </c>
      <c r="G177">
        <v>15887</v>
      </c>
      <c r="H177">
        <v>0</v>
      </c>
      <c r="I177">
        <v>0</v>
      </c>
      <c r="J177">
        <v>0</v>
      </c>
      <c r="K177">
        <f t="shared" si="2"/>
        <v>24</v>
      </c>
      <c r="L177">
        <v>0</v>
      </c>
      <c r="M177" t="str">
        <f>IF(L177=0,"",IF(#REF!&gt;0,"CONTRATISTA",IF(#REF!&gt;0,"CLIENTE","SIN_INFO")))</f>
        <v/>
      </c>
      <c r="N177" s="4"/>
    </row>
    <row r="178" spans="1:14" hidden="1">
      <c r="A178" s="2">
        <v>46187</v>
      </c>
      <c r="B178" t="s">
        <v>40</v>
      </c>
      <c r="C178" t="s">
        <v>41</v>
      </c>
      <c r="D178" t="s">
        <v>12</v>
      </c>
      <c r="E178">
        <v>24</v>
      </c>
      <c r="F178">
        <v>0</v>
      </c>
      <c r="G178">
        <v>21490</v>
      </c>
      <c r="H178">
        <v>0</v>
      </c>
      <c r="I178">
        <v>0</v>
      </c>
      <c r="J178">
        <v>0</v>
      </c>
      <c r="K178">
        <f t="shared" si="2"/>
        <v>24</v>
      </c>
      <c r="L178">
        <v>0</v>
      </c>
      <c r="M178" t="str">
        <f>IF(L178=0,"",IF(#REF!&gt;0,"CONTRATISTA",IF(#REF!&gt;0,"CLIENTE","SIN_INFO")))</f>
        <v/>
      </c>
      <c r="N178" s="4"/>
    </row>
    <row r="179" spans="1:14" hidden="1">
      <c r="A179" s="2">
        <v>46187</v>
      </c>
      <c r="B179" t="s">
        <v>40</v>
      </c>
      <c r="C179" t="s">
        <v>41</v>
      </c>
      <c r="D179" t="s">
        <v>13</v>
      </c>
      <c r="E179">
        <v>24</v>
      </c>
      <c r="F179">
        <v>0</v>
      </c>
      <c r="G179">
        <v>20708</v>
      </c>
      <c r="H179">
        <v>0</v>
      </c>
      <c r="I179">
        <v>0</v>
      </c>
      <c r="J179">
        <v>0</v>
      </c>
      <c r="K179">
        <f t="shared" si="2"/>
        <v>24</v>
      </c>
      <c r="L179">
        <v>0</v>
      </c>
      <c r="M179" t="str">
        <f>IF(L179=0,"",IF(#REF!&gt;0,"CONTRATISTA",IF(#REF!&gt;0,"CLIENTE","SIN_INFO")))</f>
        <v/>
      </c>
      <c r="N179" s="4"/>
    </row>
    <row r="180" spans="1:14" hidden="1">
      <c r="A180" s="2">
        <v>46187</v>
      </c>
      <c r="B180" t="s">
        <v>40</v>
      </c>
      <c r="C180" t="s">
        <v>41</v>
      </c>
      <c r="D180" t="s">
        <v>14</v>
      </c>
      <c r="E180">
        <v>24</v>
      </c>
      <c r="F180">
        <v>0</v>
      </c>
      <c r="G180">
        <v>21263</v>
      </c>
      <c r="H180">
        <v>0</v>
      </c>
      <c r="I180">
        <v>0</v>
      </c>
      <c r="J180">
        <v>0</v>
      </c>
      <c r="K180">
        <f t="shared" si="2"/>
        <v>24</v>
      </c>
      <c r="L180">
        <v>0</v>
      </c>
      <c r="M180" t="str">
        <f>IF(L180=0,"",IF(#REF!&gt;0,"CONTRATISTA",IF(#REF!&gt;0,"CLIENTE","SIN_INFO")))</f>
        <v/>
      </c>
      <c r="N180" s="4"/>
    </row>
    <row r="181" spans="1:14" hidden="1">
      <c r="A181" s="2">
        <v>46187</v>
      </c>
      <c r="B181" t="s">
        <v>40</v>
      </c>
      <c r="C181" t="s">
        <v>41</v>
      </c>
      <c r="D181" t="s">
        <v>15</v>
      </c>
      <c r="E181">
        <v>24</v>
      </c>
      <c r="F181">
        <v>0</v>
      </c>
      <c r="G181">
        <v>16144</v>
      </c>
      <c r="H181">
        <v>0</v>
      </c>
      <c r="I181">
        <v>0</v>
      </c>
      <c r="J181">
        <v>0</v>
      </c>
      <c r="K181">
        <f t="shared" si="2"/>
        <v>24</v>
      </c>
      <c r="L181">
        <v>0</v>
      </c>
      <c r="M181" t="str">
        <f>IF(L181=0,"",IF(#REF!&gt;0,"CONTRATISTA",IF(#REF!&gt;0,"CLIENTE","SIN_INFO")))</f>
        <v/>
      </c>
      <c r="N181" s="3"/>
    </row>
    <row r="182" spans="1:14" hidden="1">
      <c r="A182" s="2">
        <v>46187</v>
      </c>
      <c r="B182" t="s">
        <v>40</v>
      </c>
      <c r="C182" t="s">
        <v>41</v>
      </c>
      <c r="D182" t="s">
        <v>21</v>
      </c>
      <c r="E182">
        <v>24</v>
      </c>
      <c r="F182">
        <v>0</v>
      </c>
      <c r="G182">
        <v>8068</v>
      </c>
      <c r="H182">
        <v>0</v>
      </c>
      <c r="I182">
        <v>0</v>
      </c>
      <c r="J182">
        <v>0</v>
      </c>
      <c r="K182">
        <f t="shared" si="2"/>
        <v>24</v>
      </c>
      <c r="L182">
        <v>0</v>
      </c>
      <c r="M182" t="str">
        <f>IF(L182=0,"",IF(#REF!&gt;0,"CONTRATISTA",IF(#REF!&gt;0,"CLIENTE","SIN_INFO")))</f>
        <v/>
      </c>
      <c r="N182" s="3"/>
    </row>
    <row r="183" spans="1:14" hidden="1">
      <c r="A183" s="2">
        <v>46187</v>
      </c>
      <c r="B183" t="s">
        <v>40</v>
      </c>
      <c r="C183" t="s">
        <v>41</v>
      </c>
      <c r="D183" t="s">
        <v>22</v>
      </c>
      <c r="E183">
        <v>6</v>
      </c>
      <c r="F183">
        <v>18</v>
      </c>
      <c r="G183">
        <v>2557</v>
      </c>
      <c r="H183">
        <v>0</v>
      </c>
      <c r="I183">
        <v>0</v>
      </c>
      <c r="J183">
        <v>0</v>
      </c>
      <c r="K183">
        <f t="shared" si="2"/>
        <v>24</v>
      </c>
      <c r="L183">
        <v>0</v>
      </c>
      <c r="M183" t="str">
        <f>IF(L183=0,"",IF(#REF!&gt;0,"CONTRATISTA",IF(#REF!&gt;0,"CLIENTE","SIN_INFO")))</f>
        <v/>
      </c>
      <c r="N183" s="3" t="s">
        <v>84</v>
      </c>
    </row>
    <row r="184" spans="1:14" hidden="1">
      <c r="A184" s="2">
        <v>46187</v>
      </c>
      <c r="B184" t="s">
        <v>40</v>
      </c>
      <c r="C184" t="s">
        <v>41</v>
      </c>
      <c r="D184" t="s">
        <v>23</v>
      </c>
      <c r="E184">
        <v>14</v>
      </c>
      <c r="F184">
        <v>10</v>
      </c>
      <c r="G184">
        <v>5613</v>
      </c>
      <c r="H184">
        <v>0</v>
      </c>
      <c r="I184">
        <v>0</v>
      </c>
      <c r="J184">
        <v>0</v>
      </c>
      <c r="K184">
        <f t="shared" si="2"/>
        <v>24</v>
      </c>
      <c r="L184">
        <v>0</v>
      </c>
      <c r="M184" t="str">
        <f>IF(L184=0,"",IF(#REF!&gt;0,"CONTRATISTA",IF(#REF!&gt;0,"CLIENTE","SIN_INFO")))</f>
        <v/>
      </c>
      <c r="N184" s="3" t="s">
        <v>84</v>
      </c>
    </row>
    <row r="185" spans="1:14" hidden="1">
      <c r="A185" s="2">
        <v>46187</v>
      </c>
      <c r="B185" t="s">
        <v>40</v>
      </c>
      <c r="C185" t="s">
        <v>41</v>
      </c>
      <c r="D185" t="s">
        <v>16</v>
      </c>
      <c r="E185">
        <v>0</v>
      </c>
      <c r="F185">
        <v>24</v>
      </c>
      <c r="G185">
        <v>194</v>
      </c>
      <c r="H185">
        <v>0</v>
      </c>
      <c r="I185">
        <v>0</v>
      </c>
      <c r="J185">
        <v>0</v>
      </c>
      <c r="K185">
        <f t="shared" si="2"/>
        <v>24</v>
      </c>
      <c r="L185">
        <v>0</v>
      </c>
      <c r="M185" t="str">
        <f>IF(L185=0,"",IF(#REF!&gt;0,"CONTRATISTA",IF(#REF!&gt;0,"CLIENTE","SIN_INFO")))</f>
        <v/>
      </c>
      <c r="N185" s="3"/>
    </row>
    <row r="186" spans="1:14" hidden="1">
      <c r="A186" s="2">
        <v>46187</v>
      </c>
      <c r="B186" t="s">
        <v>40</v>
      </c>
      <c r="C186" t="s">
        <v>41</v>
      </c>
      <c r="D186" t="s">
        <v>17</v>
      </c>
      <c r="E186">
        <v>0</v>
      </c>
      <c r="F186">
        <v>24</v>
      </c>
      <c r="G186">
        <v>0</v>
      </c>
      <c r="H186">
        <v>0</v>
      </c>
      <c r="I186">
        <v>0</v>
      </c>
      <c r="J186">
        <v>0</v>
      </c>
      <c r="K186">
        <f t="shared" si="2"/>
        <v>24</v>
      </c>
      <c r="L186">
        <v>0</v>
      </c>
      <c r="M186" t="str">
        <f>IF(L186=0,"",IF(#REF!&gt;0,"CONTRATISTA",IF(#REF!&gt;0,"CLIENTE","SIN_INFO")))</f>
        <v/>
      </c>
      <c r="N186" s="4"/>
    </row>
    <row r="187" spans="1:14" hidden="1">
      <c r="A187" s="2">
        <v>46187</v>
      </c>
      <c r="B187" t="s">
        <v>40</v>
      </c>
      <c r="C187" t="s">
        <v>41</v>
      </c>
      <c r="D187" t="s">
        <v>18</v>
      </c>
      <c r="E187">
        <v>0</v>
      </c>
      <c r="F187">
        <v>24</v>
      </c>
      <c r="G187">
        <v>0</v>
      </c>
      <c r="H187">
        <v>0</v>
      </c>
      <c r="I187">
        <v>0</v>
      </c>
      <c r="J187">
        <v>0</v>
      </c>
      <c r="K187">
        <f t="shared" si="2"/>
        <v>24</v>
      </c>
      <c r="L187">
        <v>0</v>
      </c>
      <c r="M187" t="str">
        <f>IF(L187=0,"",IF(#REF!&gt;0,"CONTRATISTA",IF(#REF!&gt;0,"CLIENTE","SIN_INFO")))</f>
        <v/>
      </c>
      <c r="N187" s="4"/>
    </row>
    <row r="188" spans="1:14" hidden="1">
      <c r="A188" s="2">
        <v>46187</v>
      </c>
      <c r="B188" t="s">
        <v>40</v>
      </c>
      <c r="C188" t="s">
        <v>42</v>
      </c>
      <c r="D188" t="s">
        <v>19</v>
      </c>
      <c r="E188">
        <v>24</v>
      </c>
      <c r="F188">
        <v>0</v>
      </c>
      <c r="G188">
        <v>9596</v>
      </c>
      <c r="H188">
        <v>0</v>
      </c>
      <c r="I188">
        <v>0</v>
      </c>
      <c r="J188">
        <v>0</v>
      </c>
      <c r="K188">
        <f t="shared" si="2"/>
        <v>24</v>
      </c>
      <c r="L188">
        <v>0</v>
      </c>
      <c r="M188" t="str">
        <f>IF(L188=0,"",IF(#REF!&gt;0,"CONTRATISTA",IF(#REF!&gt;0,"CLIENTE","SIN_INFO")))</f>
        <v/>
      </c>
      <c r="N188" s="4"/>
    </row>
    <row r="189" spans="1:14" hidden="1">
      <c r="A189" s="2">
        <v>46187</v>
      </c>
      <c r="B189" t="s">
        <v>40</v>
      </c>
      <c r="C189" t="s">
        <v>42</v>
      </c>
      <c r="D189" t="s">
        <v>20</v>
      </c>
      <c r="E189">
        <v>24</v>
      </c>
      <c r="F189">
        <v>0</v>
      </c>
      <c r="G189">
        <v>8397</v>
      </c>
      <c r="H189">
        <v>0</v>
      </c>
      <c r="I189">
        <v>0</v>
      </c>
      <c r="J189">
        <v>0</v>
      </c>
      <c r="K189">
        <f t="shared" si="2"/>
        <v>24</v>
      </c>
      <c r="L189">
        <v>0</v>
      </c>
      <c r="M189" t="str">
        <f>IF(L189=0,"",IF(#REF!&gt;0,"CONTRATISTA",IF(#REF!&gt;0,"CLIENTE","SIN_INFO")))</f>
        <v/>
      </c>
      <c r="N189" s="4"/>
    </row>
    <row r="190" spans="1:14" hidden="1">
      <c r="A190" s="2">
        <v>46188</v>
      </c>
      <c r="B190" t="s">
        <v>40</v>
      </c>
      <c r="C190" t="s">
        <v>41</v>
      </c>
      <c r="D190" t="s">
        <v>9</v>
      </c>
      <c r="E190">
        <v>18</v>
      </c>
      <c r="F190">
        <v>6</v>
      </c>
      <c r="G190">
        <v>11816</v>
      </c>
      <c r="H190">
        <v>0</v>
      </c>
      <c r="I190">
        <v>0</v>
      </c>
      <c r="J190">
        <v>0</v>
      </c>
      <c r="K190">
        <f t="shared" si="2"/>
        <v>24</v>
      </c>
      <c r="L190">
        <v>0</v>
      </c>
      <c r="M190" t="str">
        <f>IF(L190=0,"",IF(#REF!&gt;0,"CONTRATISTA",IF(#REF!&gt;0,"CLIENTE","SIN_INFO")))</f>
        <v/>
      </c>
      <c r="N190" s="4" t="s">
        <v>85</v>
      </c>
    </row>
    <row r="191" spans="1:14" hidden="1">
      <c r="A191" s="2">
        <v>46188</v>
      </c>
      <c r="B191" t="s">
        <v>40</v>
      </c>
      <c r="C191" t="s">
        <v>41</v>
      </c>
      <c r="D191" t="s">
        <v>10</v>
      </c>
      <c r="E191">
        <v>22</v>
      </c>
      <c r="F191">
        <v>2</v>
      </c>
      <c r="G191">
        <v>14386</v>
      </c>
      <c r="H191">
        <v>0</v>
      </c>
      <c r="I191">
        <v>0</v>
      </c>
      <c r="J191">
        <v>0</v>
      </c>
      <c r="K191">
        <f t="shared" si="2"/>
        <v>24</v>
      </c>
      <c r="L191">
        <v>0</v>
      </c>
      <c r="M191" t="str">
        <f>IF(L191=0,"",IF(#REF!&gt;0,"CONTRATISTA",IF(#REF!&gt;0,"CLIENTE","SIN_INFO")))</f>
        <v/>
      </c>
      <c r="N191" s="4" t="s">
        <v>86</v>
      </c>
    </row>
    <row r="192" spans="1:14" hidden="1">
      <c r="A192" s="2">
        <v>46188</v>
      </c>
      <c r="B192" t="s">
        <v>40</v>
      </c>
      <c r="C192" t="s">
        <v>41</v>
      </c>
      <c r="D192" t="s">
        <v>11</v>
      </c>
      <c r="E192">
        <v>18</v>
      </c>
      <c r="F192">
        <v>6</v>
      </c>
      <c r="G192">
        <v>11827</v>
      </c>
      <c r="H192">
        <v>0</v>
      </c>
      <c r="I192">
        <v>0</v>
      </c>
      <c r="J192">
        <v>0</v>
      </c>
      <c r="K192">
        <f t="shared" si="2"/>
        <v>24</v>
      </c>
      <c r="L192">
        <v>0</v>
      </c>
      <c r="M192" t="str">
        <f>IF(L192=0,"",IF(#REF!&gt;0,"CONTRATISTA",IF(#REF!&gt;0,"CLIENTE","SIN_INFO")))</f>
        <v/>
      </c>
      <c r="N192" s="3" t="s">
        <v>85</v>
      </c>
    </row>
    <row r="193" spans="1:14" hidden="1">
      <c r="A193" s="2">
        <v>46188</v>
      </c>
      <c r="B193" t="s">
        <v>40</v>
      </c>
      <c r="C193" t="s">
        <v>41</v>
      </c>
      <c r="D193" t="s">
        <v>12</v>
      </c>
      <c r="E193">
        <v>21</v>
      </c>
      <c r="F193">
        <v>3</v>
      </c>
      <c r="G193">
        <v>17774</v>
      </c>
      <c r="H193">
        <v>0</v>
      </c>
      <c r="I193">
        <v>0</v>
      </c>
      <c r="J193">
        <v>0</v>
      </c>
      <c r="K193">
        <f t="shared" si="2"/>
        <v>24</v>
      </c>
      <c r="L193">
        <v>0</v>
      </c>
      <c r="M193" t="str">
        <f>IF(L193=0,"",IF(#REF!&gt;0,"CONTRATISTA",IF(#REF!&gt;0,"CLIENTE","SIN_INFO")))</f>
        <v/>
      </c>
      <c r="N193" s="3" t="s">
        <v>86</v>
      </c>
    </row>
    <row r="194" spans="1:14" hidden="1">
      <c r="A194" s="2">
        <v>46188</v>
      </c>
      <c r="B194" t="s">
        <v>40</v>
      </c>
      <c r="C194" t="s">
        <v>41</v>
      </c>
      <c r="D194" t="s">
        <v>13</v>
      </c>
      <c r="E194">
        <v>21</v>
      </c>
      <c r="F194">
        <v>3</v>
      </c>
      <c r="G194">
        <v>18278</v>
      </c>
      <c r="H194">
        <v>0</v>
      </c>
      <c r="I194">
        <v>0</v>
      </c>
      <c r="J194">
        <v>0</v>
      </c>
      <c r="K194">
        <f t="shared" si="2"/>
        <v>24</v>
      </c>
      <c r="L194">
        <v>0</v>
      </c>
      <c r="M194" t="str">
        <f>IF(L194=0,"",IF(#REF!&gt;0,"CONTRATISTA",IF(#REF!&gt;0,"CLIENTE","SIN_INFO")))</f>
        <v/>
      </c>
      <c r="N194" s="3" t="s">
        <v>86</v>
      </c>
    </row>
    <row r="195" spans="1:14" hidden="1">
      <c r="A195" s="2">
        <v>46188</v>
      </c>
      <c r="B195" t="s">
        <v>40</v>
      </c>
      <c r="C195" t="s">
        <v>41</v>
      </c>
      <c r="D195" t="s">
        <v>14</v>
      </c>
      <c r="E195">
        <v>18</v>
      </c>
      <c r="F195">
        <v>6</v>
      </c>
      <c r="G195">
        <v>15761</v>
      </c>
      <c r="H195">
        <v>0</v>
      </c>
      <c r="I195">
        <v>0</v>
      </c>
      <c r="J195">
        <v>0</v>
      </c>
      <c r="K195">
        <f t="shared" si="2"/>
        <v>24</v>
      </c>
      <c r="L195">
        <v>0</v>
      </c>
      <c r="M195" t="str">
        <f>IF(L195=0,"",IF(#REF!&gt;0,"CONTRATISTA",IF(#REF!&gt;0,"CLIENTE","SIN_INFO")))</f>
        <v/>
      </c>
      <c r="N195" s="3" t="s">
        <v>85</v>
      </c>
    </row>
    <row r="196" spans="1:14" hidden="1">
      <c r="A196" s="2">
        <v>46188</v>
      </c>
      <c r="B196" t="s">
        <v>40</v>
      </c>
      <c r="C196" t="s">
        <v>41</v>
      </c>
      <c r="D196" t="s">
        <v>15</v>
      </c>
      <c r="E196">
        <v>17</v>
      </c>
      <c r="F196">
        <v>7</v>
      </c>
      <c r="G196">
        <v>11395</v>
      </c>
      <c r="H196">
        <v>0</v>
      </c>
      <c r="I196">
        <v>0</v>
      </c>
      <c r="J196">
        <v>0</v>
      </c>
      <c r="K196">
        <f t="shared" ref="K196:K259" si="3">SUM(E196+F196+H196+I196+J196)</f>
        <v>24</v>
      </c>
      <c r="L196">
        <v>0</v>
      </c>
      <c r="M196" t="str">
        <f>IF(L196=0,"",IF(#REF!&gt;0,"CONTRATISTA",IF(#REF!&gt;0,"CLIENTE","SIN_INFO")))</f>
        <v/>
      </c>
      <c r="N196" s="3" t="s">
        <v>86</v>
      </c>
    </row>
    <row r="197" spans="1:14" hidden="1">
      <c r="A197" s="2">
        <v>46188</v>
      </c>
      <c r="B197" t="s">
        <v>40</v>
      </c>
      <c r="C197" t="s">
        <v>41</v>
      </c>
      <c r="D197" t="s">
        <v>21</v>
      </c>
      <c r="E197">
        <v>18</v>
      </c>
      <c r="F197">
        <v>6</v>
      </c>
      <c r="G197">
        <v>7025</v>
      </c>
      <c r="H197">
        <v>0</v>
      </c>
      <c r="I197">
        <v>0</v>
      </c>
      <c r="J197">
        <v>0</v>
      </c>
      <c r="K197">
        <f t="shared" si="3"/>
        <v>24</v>
      </c>
      <c r="L197">
        <v>0</v>
      </c>
      <c r="M197" t="str">
        <f>IF(L197=0,"",IF(#REF!&gt;0,"CONTRATISTA",IF(#REF!&gt;0,"CLIENTE","SIN_INFO")))</f>
        <v/>
      </c>
      <c r="N197" s="3" t="s">
        <v>86</v>
      </c>
    </row>
    <row r="198" spans="1:14" hidden="1">
      <c r="A198" s="2">
        <v>46188</v>
      </c>
      <c r="B198" t="s">
        <v>40</v>
      </c>
      <c r="C198" t="s">
        <v>41</v>
      </c>
      <c r="D198" t="s">
        <v>22</v>
      </c>
      <c r="E198">
        <v>1</v>
      </c>
      <c r="F198">
        <v>23</v>
      </c>
      <c r="G198">
        <v>287</v>
      </c>
      <c r="H198">
        <v>0</v>
      </c>
      <c r="I198">
        <v>0</v>
      </c>
      <c r="J198">
        <v>0</v>
      </c>
      <c r="K198">
        <f t="shared" si="3"/>
        <v>24</v>
      </c>
      <c r="L198">
        <v>0</v>
      </c>
      <c r="M198" t="str">
        <f>IF(L198=0,"",IF(#REF!&gt;0,"CONTRATISTA",IF(#REF!&gt;0,"CLIENTE","SIN_INFO")))</f>
        <v/>
      </c>
      <c r="N198" s="4" t="s">
        <v>86</v>
      </c>
    </row>
    <row r="199" spans="1:14" hidden="1">
      <c r="A199" s="2">
        <v>46188</v>
      </c>
      <c r="B199" t="s">
        <v>40</v>
      </c>
      <c r="C199" t="s">
        <v>41</v>
      </c>
      <c r="D199" t="s">
        <v>23</v>
      </c>
      <c r="E199">
        <v>16</v>
      </c>
      <c r="F199">
        <v>8</v>
      </c>
      <c r="G199">
        <v>6694</v>
      </c>
      <c r="H199">
        <v>0</v>
      </c>
      <c r="I199">
        <v>0</v>
      </c>
      <c r="J199">
        <v>0</v>
      </c>
      <c r="K199">
        <f t="shared" si="3"/>
        <v>24</v>
      </c>
      <c r="L199">
        <v>0</v>
      </c>
      <c r="M199" t="str">
        <f>IF(L199=0,"",IF(#REF!&gt;0,"CONTRATISTA",IF(#REF!&gt;0,"CLIENTE","SIN_INFO")))</f>
        <v/>
      </c>
      <c r="N199" s="4" t="s">
        <v>86</v>
      </c>
    </row>
    <row r="200" spans="1:14" hidden="1">
      <c r="A200" s="2">
        <v>46188</v>
      </c>
      <c r="B200" t="s">
        <v>40</v>
      </c>
      <c r="C200" t="s">
        <v>41</v>
      </c>
      <c r="D200" t="s">
        <v>16</v>
      </c>
      <c r="E200">
        <v>7</v>
      </c>
      <c r="F200">
        <v>17</v>
      </c>
      <c r="G200">
        <v>2446</v>
      </c>
      <c r="H200">
        <v>0</v>
      </c>
      <c r="I200">
        <v>0</v>
      </c>
      <c r="J200">
        <v>0</v>
      </c>
      <c r="K200">
        <f t="shared" si="3"/>
        <v>24</v>
      </c>
      <c r="L200">
        <v>0</v>
      </c>
      <c r="M200" t="str">
        <f>IF(L200=0,"",IF(#REF!&gt;0,"CONTRATISTA",IF(#REF!&gt;0,"CLIENTE","SIN_INFO")))</f>
        <v/>
      </c>
      <c r="N200" s="4" t="s">
        <v>86</v>
      </c>
    </row>
    <row r="201" spans="1:14" hidden="1">
      <c r="A201" s="2">
        <v>46188</v>
      </c>
      <c r="B201" t="s">
        <v>40</v>
      </c>
      <c r="C201" t="s">
        <v>41</v>
      </c>
      <c r="D201" t="s">
        <v>17</v>
      </c>
      <c r="E201">
        <v>7</v>
      </c>
      <c r="F201">
        <v>17</v>
      </c>
      <c r="G201">
        <v>4573</v>
      </c>
      <c r="H201">
        <v>0</v>
      </c>
      <c r="I201">
        <v>0</v>
      </c>
      <c r="J201">
        <v>0</v>
      </c>
      <c r="K201">
        <f t="shared" si="3"/>
        <v>24</v>
      </c>
      <c r="L201">
        <v>0</v>
      </c>
      <c r="M201" t="str">
        <f>IF(L201=0,"",IF(#REF!&gt;0,"CONTRATISTA",IF(#REF!&gt;0,"CLIENTE","SIN_INFO")))</f>
        <v/>
      </c>
      <c r="N201" s="4" t="s">
        <v>86</v>
      </c>
    </row>
    <row r="202" spans="1:14" hidden="1">
      <c r="A202" s="2">
        <v>46188</v>
      </c>
      <c r="B202" t="s">
        <v>40</v>
      </c>
      <c r="C202" t="s">
        <v>41</v>
      </c>
      <c r="D202" t="s">
        <v>18</v>
      </c>
      <c r="E202">
        <v>6</v>
      </c>
      <c r="F202">
        <v>18</v>
      </c>
      <c r="G202">
        <v>4457</v>
      </c>
      <c r="H202">
        <v>0</v>
      </c>
      <c r="I202">
        <v>0</v>
      </c>
      <c r="J202">
        <v>0</v>
      </c>
      <c r="K202">
        <f t="shared" si="3"/>
        <v>24</v>
      </c>
      <c r="L202">
        <v>0</v>
      </c>
      <c r="M202" t="str">
        <f>IF(L202=0,"",IF(#REF!&gt;0,"CONTRATISTA",IF(#REF!&gt;0,"CLIENTE","SIN_INFO")))</f>
        <v/>
      </c>
      <c r="N202" s="4" t="s">
        <v>86</v>
      </c>
    </row>
    <row r="203" spans="1:14" hidden="1">
      <c r="A203" s="2">
        <v>46188</v>
      </c>
      <c r="B203" t="s">
        <v>40</v>
      </c>
      <c r="C203" t="s">
        <v>42</v>
      </c>
      <c r="D203" t="s">
        <v>19</v>
      </c>
      <c r="E203">
        <v>22</v>
      </c>
      <c r="F203">
        <v>2</v>
      </c>
      <c r="G203">
        <v>8129</v>
      </c>
      <c r="H203">
        <v>0</v>
      </c>
      <c r="I203">
        <v>0</v>
      </c>
      <c r="J203">
        <v>0</v>
      </c>
      <c r="K203">
        <f t="shared" si="3"/>
        <v>24</v>
      </c>
      <c r="L203">
        <v>0</v>
      </c>
      <c r="M203" t="str">
        <f>IF(L203=0,"",IF(#REF!&gt;0,"CONTRATISTA",IF(#REF!&gt;0,"CLIENTE","SIN_INFO")))</f>
        <v/>
      </c>
      <c r="N203" s="4" t="s">
        <v>86</v>
      </c>
    </row>
    <row r="204" spans="1:14" hidden="1">
      <c r="A204" s="2">
        <v>46188</v>
      </c>
      <c r="B204" t="s">
        <v>40</v>
      </c>
      <c r="C204" t="s">
        <v>42</v>
      </c>
      <c r="D204" t="s">
        <v>20</v>
      </c>
      <c r="E204">
        <v>22</v>
      </c>
      <c r="F204">
        <v>2</v>
      </c>
      <c r="G204">
        <v>7569</v>
      </c>
      <c r="H204">
        <v>0</v>
      </c>
      <c r="I204">
        <v>0</v>
      </c>
      <c r="J204">
        <v>0</v>
      </c>
      <c r="K204">
        <f t="shared" si="3"/>
        <v>24</v>
      </c>
      <c r="L204">
        <v>0</v>
      </c>
      <c r="M204" t="str">
        <f>IF(L204=0,"",IF(#REF!&gt;0,"CONTRATISTA",IF(#REF!&gt;0,"CLIENTE","SIN_INFO")))</f>
        <v/>
      </c>
      <c r="N204" s="4" t="s">
        <v>86</v>
      </c>
    </row>
    <row r="205" spans="1:14" hidden="1">
      <c r="A205" s="2">
        <v>46189</v>
      </c>
      <c r="B205" t="s">
        <v>40</v>
      </c>
      <c r="C205" t="s">
        <v>41</v>
      </c>
      <c r="D205" t="s">
        <v>9</v>
      </c>
      <c r="E205">
        <v>12</v>
      </c>
      <c r="F205">
        <v>12</v>
      </c>
      <c r="G205">
        <v>6998</v>
      </c>
      <c r="H205">
        <v>0</v>
      </c>
      <c r="I205">
        <v>0</v>
      </c>
      <c r="J205">
        <v>0</v>
      </c>
      <c r="K205">
        <f t="shared" si="3"/>
        <v>24</v>
      </c>
      <c r="L205">
        <v>0</v>
      </c>
      <c r="M205" t="str">
        <f>IF(L205=0,"",IF(#REF!&gt;0,"CONTRATISTA",IF(#REF!&gt;0,"CLIENTE","SIN_INFO")))</f>
        <v/>
      </c>
      <c r="N205" s="4" t="s">
        <v>87</v>
      </c>
    </row>
    <row r="206" spans="1:14" hidden="1">
      <c r="A206" s="2">
        <v>46189</v>
      </c>
      <c r="B206" t="s">
        <v>40</v>
      </c>
      <c r="C206" t="s">
        <v>41</v>
      </c>
      <c r="D206" t="s">
        <v>10</v>
      </c>
      <c r="E206">
        <v>12</v>
      </c>
      <c r="F206">
        <v>12</v>
      </c>
      <c r="G206">
        <v>6423</v>
      </c>
      <c r="H206">
        <v>0</v>
      </c>
      <c r="I206">
        <v>0</v>
      </c>
      <c r="J206">
        <v>0</v>
      </c>
      <c r="K206">
        <f t="shared" si="3"/>
        <v>24</v>
      </c>
      <c r="L206">
        <v>0</v>
      </c>
      <c r="M206" t="str">
        <f>IF(L206=0,"",IF(#REF!&gt;0,"CONTRATISTA",IF(#REF!&gt;0,"CLIENTE","SIN_INFO")))</f>
        <v/>
      </c>
      <c r="N206" s="3" t="s">
        <v>87</v>
      </c>
    </row>
    <row r="207" spans="1:14" hidden="1">
      <c r="A207" s="2">
        <v>46189</v>
      </c>
      <c r="B207" t="s">
        <v>40</v>
      </c>
      <c r="C207" t="s">
        <v>41</v>
      </c>
      <c r="D207" t="s">
        <v>11</v>
      </c>
      <c r="E207">
        <v>10</v>
      </c>
      <c r="F207">
        <v>14</v>
      </c>
      <c r="G207">
        <v>6505</v>
      </c>
      <c r="H207">
        <v>0</v>
      </c>
      <c r="I207">
        <v>0</v>
      </c>
      <c r="J207">
        <v>0</v>
      </c>
      <c r="K207">
        <f t="shared" si="3"/>
        <v>24</v>
      </c>
      <c r="L207">
        <v>0</v>
      </c>
      <c r="M207" t="str">
        <f>IF(L207=0,"",IF(#REF!&gt;0,"CONTRATISTA",IF(#REF!&gt;0,"CLIENTE","SIN_INFO")))</f>
        <v/>
      </c>
      <c r="N207" s="3" t="s">
        <v>87</v>
      </c>
    </row>
    <row r="208" spans="1:14" hidden="1">
      <c r="A208" s="2">
        <v>46189</v>
      </c>
      <c r="B208" t="s">
        <v>40</v>
      </c>
      <c r="C208" t="s">
        <v>41</v>
      </c>
      <c r="D208" t="s">
        <v>12</v>
      </c>
      <c r="E208">
        <v>24</v>
      </c>
      <c r="F208">
        <v>0</v>
      </c>
      <c r="G208">
        <v>20222</v>
      </c>
      <c r="H208">
        <v>0</v>
      </c>
      <c r="I208">
        <v>0</v>
      </c>
      <c r="J208">
        <v>0</v>
      </c>
      <c r="K208">
        <f t="shared" si="3"/>
        <v>24</v>
      </c>
      <c r="L208">
        <v>0</v>
      </c>
      <c r="M208" t="str">
        <f>IF(L208=0,"",IF(#REF!&gt;0,"CONTRATISTA",IF(#REF!&gt;0,"CLIENTE","SIN_INFO")))</f>
        <v/>
      </c>
      <c r="N208" s="3"/>
    </row>
    <row r="209" spans="1:14" hidden="1">
      <c r="A209" s="2">
        <v>46189</v>
      </c>
      <c r="B209" t="s">
        <v>40</v>
      </c>
      <c r="C209" t="s">
        <v>41</v>
      </c>
      <c r="D209" t="s">
        <v>13</v>
      </c>
      <c r="E209">
        <v>24</v>
      </c>
      <c r="F209">
        <v>0</v>
      </c>
      <c r="G209">
        <v>20851</v>
      </c>
      <c r="H209">
        <v>0</v>
      </c>
      <c r="I209">
        <v>0</v>
      </c>
      <c r="J209">
        <v>0</v>
      </c>
      <c r="K209">
        <f t="shared" si="3"/>
        <v>24</v>
      </c>
      <c r="L209">
        <v>0</v>
      </c>
      <c r="M209" t="str">
        <f>IF(L209=0,"",IF(#REF!&gt;0,"CONTRATISTA",IF(#REF!&gt;0,"CLIENTE","SIN_INFO")))</f>
        <v/>
      </c>
      <c r="N209" s="3"/>
    </row>
    <row r="210" spans="1:14" hidden="1">
      <c r="A210" s="2">
        <v>46189</v>
      </c>
      <c r="B210" t="s">
        <v>40</v>
      </c>
      <c r="C210" t="s">
        <v>41</v>
      </c>
      <c r="D210" t="s">
        <v>14</v>
      </c>
      <c r="E210">
        <v>23</v>
      </c>
      <c r="F210">
        <v>1</v>
      </c>
      <c r="G210">
        <v>16397</v>
      </c>
      <c r="H210">
        <v>0</v>
      </c>
      <c r="I210">
        <v>0</v>
      </c>
      <c r="J210">
        <v>0</v>
      </c>
      <c r="K210">
        <f t="shared" si="3"/>
        <v>24</v>
      </c>
      <c r="L210">
        <v>0</v>
      </c>
      <c r="M210" t="str">
        <f>IF(L210=0,"",IF(#REF!&gt;0,"CONTRATISTA",IF(#REF!&gt;0,"CLIENTE","SIN_INFO")))</f>
        <v/>
      </c>
      <c r="N210" s="4" t="s">
        <v>88</v>
      </c>
    </row>
    <row r="211" spans="1:14" hidden="1">
      <c r="A211" s="2">
        <v>46189</v>
      </c>
      <c r="B211" t="s">
        <v>40</v>
      </c>
      <c r="C211" t="s">
        <v>41</v>
      </c>
      <c r="D211" t="s">
        <v>15</v>
      </c>
      <c r="E211">
        <v>9</v>
      </c>
      <c r="F211">
        <v>15</v>
      </c>
      <c r="G211">
        <v>6473</v>
      </c>
      <c r="H211">
        <v>0</v>
      </c>
      <c r="I211">
        <v>0</v>
      </c>
      <c r="J211">
        <v>0</v>
      </c>
      <c r="K211">
        <f t="shared" si="3"/>
        <v>24</v>
      </c>
      <c r="L211">
        <v>0</v>
      </c>
      <c r="M211" t="str">
        <f>IF(L211=0,"",IF(#REF!&gt;0,"CONTRATISTA",IF(#REF!&gt;0,"CLIENTE","SIN_INFO")))</f>
        <v/>
      </c>
      <c r="N211" s="4" t="s">
        <v>87</v>
      </c>
    </row>
    <row r="212" spans="1:14" hidden="1">
      <c r="A212" s="2">
        <v>46189</v>
      </c>
      <c r="B212" t="s">
        <v>40</v>
      </c>
      <c r="C212" t="s">
        <v>41</v>
      </c>
      <c r="D212" t="s">
        <v>21</v>
      </c>
      <c r="E212">
        <v>22</v>
      </c>
      <c r="F212">
        <v>2</v>
      </c>
      <c r="G212">
        <v>8763</v>
      </c>
      <c r="H212">
        <v>0</v>
      </c>
      <c r="I212">
        <v>0</v>
      </c>
      <c r="J212">
        <v>0</v>
      </c>
      <c r="K212">
        <f t="shared" si="3"/>
        <v>24</v>
      </c>
      <c r="L212">
        <v>0</v>
      </c>
      <c r="M212" t="str">
        <f>IF(L212=0,"",IF(#REF!&gt;0,"CONTRATISTA",IF(#REF!&gt;0,"CLIENTE","SIN_INFO")))</f>
        <v/>
      </c>
      <c r="N212" s="4"/>
    </row>
    <row r="213" spans="1:14" hidden="1">
      <c r="A213" s="2">
        <v>46189</v>
      </c>
      <c r="B213" t="s">
        <v>40</v>
      </c>
      <c r="C213" t="s">
        <v>41</v>
      </c>
      <c r="D213" t="s">
        <v>22</v>
      </c>
      <c r="E213">
        <v>9</v>
      </c>
      <c r="F213">
        <v>15</v>
      </c>
      <c r="G213">
        <v>2932</v>
      </c>
      <c r="H213">
        <v>0</v>
      </c>
      <c r="I213">
        <v>0</v>
      </c>
      <c r="J213">
        <v>0</v>
      </c>
      <c r="K213">
        <f t="shared" si="3"/>
        <v>24</v>
      </c>
      <c r="L213">
        <v>0</v>
      </c>
      <c r="M213" t="str">
        <f>IF(L213=0,"",IF(#REF!&gt;0,"CONTRATISTA",IF(#REF!&gt;0,"CLIENTE","SIN_INFO")))</f>
        <v/>
      </c>
      <c r="N213" s="4" t="s">
        <v>84</v>
      </c>
    </row>
    <row r="214" spans="1:14" hidden="1">
      <c r="A214" s="2">
        <v>46189</v>
      </c>
      <c r="B214" t="s">
        <v>40</v>
      </c>
      <c r="C214" t="s">
        <v>41</v>
      </c>
      <c r="D214" t="s">
        <v>23</v>
      </c>
      <c r="E214">
        <v>6</v>
      </c>
      <c r="F214">
        <v>18</v>
      </c>
      <c r="G214">
        <v>1703</v>
      </c>
      <c r="H214">
        <v>0</v>
      </c>
      <c r="I214">
        <v>0</v>
      </c>
      <c r="J214">
        <v>0</v>
      </c>
      <c r="K214">
        <f t="shared" si="3"/>
        <v>24</v>
      </c>
      <c r="L214">
        <v>0</v>
      </c>
      <c r="M214" t="str">
        <f>IF(L214=0,"",IF(#REF!&gt;0,"CONTRATISTA",IF(#REF!&gt;0,"CLIENTE","SIN_INFO")))</f>
        <v/>
      </c>
      <c r="N214" s="4" t="s">
        <v>84</v>
      </c>
    </row>
    <row r="215" spans="1:14" hidden="1">
      <c r="A215" s="2">
        <v>46189</v>
      </c>
      <c r="B215" t="s">
        <v>40</v>
      </c>
      <c r="C215" t="s">
        <v>41</v>
      </c>
      <c r="D215" t="s">
        <v>16</v>
      </c>
      <c r="E215">
        <v>2</v>
      </c>
      <c r="F215">
        <v>22</v>
      </c>
      <c r="G215">
        <v>537</v>
      </c>
      <c r="H215">
        <v>0</v>
      </c>
      <c r="I215">
        <v>0</v>
      </c>
      <c r="J215">
        <v>0</v>
      </c>
      <c r="K215">
        <f t="shared" si="3"/>
        <v>24</v>
      </c>
      <c r="L215">
        <v>0</v>
      </c>
      <c r="M215" t="str">
        <f>IF(L215=0,"",IF(#REF!&gt;0,"CONTRATISTA",IF(#REF!&gt;0,"CLIENTE","SIN_INFO")))</f>
        <v/>
      </c>
      <c r="N215" s="4" t="s">
        <v>89</v>
      </c>
    </row>
    <row r="216" spans="1:14" hidden="1">
      <c r="A216" s="2">
        <v>46189</v>
      </c>
      <c r="B216" t="s">
        <v>40</v>
      </c>
      <c r="C216" t="s">
        <v>41</v>
      </c>
      <c r="D216" t="s">
        <v>17</v>
      </c>
      <c r="E216">
        <v>8</v>
      </c>
      <c r="F216">
        <v>16</v>
      </c>
      <c r="G216">
        <v>5947</v>
      </c>
      <c r="H216">
        <v>0</v>
      </c>
      <c r="I216">
        <v>0</v>
      </c>
      <c r="J216">
        <v>0</v>
      </c>
      <c r="K216">
        <f t="shared" si="3"/>
        <v>24</v>
      </c>
      <c r="L216">
        <v>0</v>
      </c>
      <c r="M216" t="str">
        <f>IF(L216=0,"",IF(#REF!&gt;0,"CONTRATISTA",IF(#REF!&gt;0,"CLIENTE","SIN_INFO")))</f>
        <v/>
      </c>
      <c r="N216" s="4" t="s">
        <v>89</v>
      </c>
    </row>
    <row r="217" spans="1:14" hidden="1">
      <c r="A217" s="2">
        <v>46189</v>
      </c>
      <c r="B217" t="s">
        <v>40</v>
      </c>
      <c r="C217" t="s">
        <v>41</v>
      </c>
      <c r="D217" t="s">
        <v>18</v>
      </c>
      <c r="E217">
        <v>18</v>
      </c>
      <c r="F217">
        <v>6</v>
      </c>
      <c r="G217">
        <v>12706</v>
      </c>
      <c r="H217">
        <v>0</v>
      </c>
      <c r="I217">
        <v>0</v>
      </c>
      <c r="J217">
        <v>0</v>
      </c>
      <c r="K217">
        <f t="shared" si="3"/>
        <v>24</v>
      </c>
      <c r="L217">
        <v>0</v>
      </c>
      <c r="M217" t="str">
        <f>IF(L217=0,"",IF(#REF!&gt;0,"CONTRATISTA",IF(#REF!&gt;0,"CLIENTE","SIN_INFO")))</f>
        <v/>
      </c>
      <c r="N217" s="4" t="s">
        <v>89</v>
      </c>
    </row>
    <row r="218" spans="1:14" hidden="1">
      <c r="A218" s="2">
        <v>46189</v>
      </c>
      <c r="B218" t="s">
        <v>40</v>
      </c>
      <c r="C218" t="s">
        <v>42</v>
      </c>
      <c r="D218" t="s">
        <v>19</v>
      </c>
      <c r="E218">
        <v>24</v>
      </c>
      <c r="F218">
        <v>0</v>
      </c>
      <c r="G218">
        <v>9596</v>
      </c>
      <c r="H218">
        <v>0</v>
      </c>
      <c r="I218">
        <v>0</v>
      </c>
      <c r="J218">
        <v>0</v>
      </c>
      <c r="K218">
        <f t="shared" si="3"/>
        <v>24</v>
      </c>
      <c r="L218">
        <v>0</v>
      </c>
      <c r="M218" t="str">
        <f>IF(L218=0,"",IF(#REF!&gt;0,"CONTRATISTA",IF(#REF!&gt;0,"CLIENTE","SIN_INFO")))</f>
        <v/>
      </c>
      <c r="N218" s="3"/>
    </row>
    <row r="219" spans="1:14" hidden="1">
      <c r="A219" s="2">
        <v>46189</v>
      </c>
      <c r="B219" t="s">
        <v>40</v>
      </c>
      <c r="C219" t="s">
        <v>42</v>
      </c>
      <c r="D219" t="s">
        <v>20</v>
      </c>
      <c r="E219">
        <v>24</v>
      </c>
      <c r="F219">
        <v>0</v>
      </c>
      <c r="G219">
        <v>8176</v>
      </c>
      <c r="H219">
        <v>0</v>
      </c>
      <c r="I219">
        <v>0</v>
      </c>
      <c r="J219">
        <v>0</v>
      </c>
      <c r="K219">
        <f t="shared" si="3"/>
        <v>24</v>
      </c>
      <c r="L219">
        <v>0</v>
      </c>
      <c r="M219" t="str">
        <f>IF(L219=0,"",IF(#REF!&gt;0,"CONTRATISTA",IF(#REF!&gt;0,"CLIENTE","SIN_INFO")))</f>
        <v/>
      </c>
      <c r="N219" s="3"/>
    </row>
    <row r="220" spans="1:14" hidden="1">
      <c r="A220" s="2">
        <v>46190</v>
      </c>
      <c r="B220" t="s">
        <v>40</v>
      </c>
      <c r="C220" t="s">
        <v>41</v>
      </c>
      <c r="D220" t="s">
        <v>9</v>
      </c>
      <c r="E220">
        <v>14</v>
      </c>
      <c r="F220">
        <v>10</v>
      </c>
      <c r="G220">
        <v>9259</v>
      </c>
      <c r="H220">
        <v>0</v>
      </c>
      <c r="I220">
        <v>0</v>
      </c>
      <c r="J220">
        <v>0</v>
      </c>
      <c r="K220">
        <f t="shared" si="3"/>
        <v>24</v>
      </c>
      <c r="L220">
        <v>0</v>
      </c>
      <c r="M220" t="str">
        <f>IF(L220=0,"",IF(#REF!&gt;0,"CONTRATISTA",IF(#REF!&gt;0,"CLIENTE","SIN_INFO")))</f>
        <v/>
      </c>
      <c r="N220" s="3"/>
    </row>
    <row r="221" spans="1:14" hidden="1">
      <c r="A221" s="2">
        <v>46190</v>
      </c>
      <c r="B221" t="s">
        <v>40</v>
      </c>
      <c r="C221" t="s">
        <v>41</v>
      </c>
      <c r="D221" t="s">
        <v>10</v>
      </c>
      <c r="E221">
        <v>19</v>
      </c>
      <c r="F221">
        <v>5</v>
      </c>
      <c r="G221">
        <v>12373</v>
      </c>
      <c r="H221">
        <v>0</v>
      </c>
      <c r="I221">
        <v>0</v>
      </c>
      <c r="J221">
        <v>0</v>
      </c>
      <c r="K221">
        <f t="shared" si="3"/>
        <v>24</v>
      </c>
      <c r="L221">
        <v>0</v>
      </c>
      <c r="M221" t="str">
        <f>IF(L221=0,"",IF(#REF!&gt;0,"CONTRATISTA",IF(#REF!&gt;0,"CLIENTE","SIN_INFO")))</f>
        <v/>
      </c>
      <c r="N221" s="3"/>
    </row>
    <row r="222" spans="1:14" hidden="1">
      <c r="A222" s="2">
        <v>46190</v>
      </c>
      <c r="B222" t="s">
        <v>40</v>
      </c>
      <c r="C222" t="s">
        <v>41</v>
      </c>
      <c r="D222" t="s">
        <v>11</v>
      </c>
      <c r="E222">
        <v>9</v>
      </c>
      <c r="F222">
        <v>15</v>
      </c>
      <c r="G222">
        <v>5181</v>
      </c>
      <c r="H222">
        <v>0</v>
      </c>
      <c r="I222">
        <v>0</v>
      </c>
      <c r="J222">
        <v>0</v>
      </c>
      <c r="K222">
        <f t="shared" si="3"/>
        <v>24</v>
      </c>
      <c r="L222">
        <v>0</v>
      </c>
      <c r="M222" t="str">
        <f>IF(L222=0,"",IF(#REF!&gt;0,"CONTRATISTA",IF(#REF!&gt;0,"CLIENTE","SIN_INFO")))</f>
        <v/>
      </c>
      <c r="N222" s="4"/>
    </row>
    <row r="223" spans="1:14" hidden="1">
      <c r="A223" s="2">
        <v>46190</v>
      </c>
      <c r="B223" t="s">
        <v>40</v>
      </c>
      <c r="C223" t="s">
        <v>41</v>
      </c>
      <c r="D223" t="s">
        <v>12</v>
      </c>
      <c r="E223">
        <v>23</v>
      </c>
      <c r="F223">
        <v>1</v>
      </c>
      <c r="G223">
        <v>19920</v>
      </c>
      <c r="H223">
        <v>0</v>
      </c>
      <c r="I223">
        <v>0</v>
      </c>
      <c r="J223">
        <v>0</v>
      </c>
      <c r="K223">
        <f t="shared" si="3"/>
        <v>24</v>
      </c>
      <c r="L223">
        <v>0</v>
      </c>
      <c r="M223" t="str">
        <f>IF(L223=0,"",IF(#REF!&gt;0,"CONTRATISTA",IF(#REF!&gt;0,"CLIENTE","SIN_INFO")))</f>
        <v/>
      </c>
      <c r="N223" s="4"/>
    </row>
    <row r="224" spans="1:14" hidden="1">
      <c r="A224" s="2">
        <v>46190</v>
      </c>
      <c r="B224" t="s">
        <v>40</v>
      </c>
      <c r="C224" t="s">
        <v>41</v>
      </c>
      <c r="D224" t="s">
        <v>13</v>
      </c>
      <c r="E224">
        <v>22</v>
      </c>
      <c r="F224">
        <v>2</v>
      </c>
      <c r="G224">
        <v>18316</v>
      </c>
      <c r="H224">
        <v>0</v>
      </c>
      <c r="I224">
        <v>0</v>
      </c>
      <c r="J224">
        <v>0</v>
      </c>
      <c r="K224">
        <f t="shared" si="3"/>
        <v>24</v>
      </c>
      <c r="L224">
        <v>0</v>
      </c>
      <c r="M224" t="str">
        <f>IF(L224=0,"",IF(#REF!&gt;0,"CONTRATISTA",IF(#REF!&gt;0,"CLIENTE","SIN_INFO")))</f>
        <v/>
      </c>
      <c r="N224" s="4"/>
    </row>
    <row r="225" spans="1:14" hidden="1">
      <c r="A225" s="2">
        <v>46190</v>
      </c>
      <c r="B225" t="s">
        <v>40</v>
      </c>
      <c r="C225" t="s">
        <v>41</v>
      </c>
      <c r="D225" t="s">
        <v>14</v>
      </c>
      <c r="E225">
        <v>24</v>
      </c>
      <c r="F225">
        <v>0</v>
      </c>
      <c r="G225">
        <v>19881</v>
      </c>
      <c r="H225">
        <v>0</v>
      </c>
      <c r="I225">
        <v>0</v>
      </c>
      <c r="J225">
        <v>0</v>
      </c>
      <c r="K225">
        <f t="shared" si="3"/>
        <v>24</v>
      </c>
      <c r="L225">
        <v>0</v>
      </c>
      <c r="M225" t="str">
        <f>IF(L225=0,"",IF(#REF!&gt;0,"CONTRATISTA",IF(#REF!&gt;0,"CLIENTE","SIN_INFO")))</f>
        <v/>
      </c>
      <c r="N225" s="4"/>
    </row>
    <row r="226" spans="1:14" hidden="1">
      <c r="A226" s="2">
        <v>46190</v>
      </c>
      <c r="B226" t="s">
        <v>40</v>
      </c>
      <c r="C226" t="s">
        <v>41</v>
      </c>
      <c r="D226" t="s">
        <v>15</v>
      </c>
      <c r="E226">
        <v>14</v>
      </c>
      <c r="F226">
        <v>10</v>
      </c>
      <c r="G226">
        <v>8613</v>
      </c>
      <c r="H226">
        <v>0</v>
      </c>
      <c r="I226">
        <v>0</v>
      </c>
      <c r="J226">
        <v>0</v>
      </c>
      <c r="K226">
        <f t="shared" si="3"/>
        <v>24</v>
      </c>
      <c r="L226">
        <v>0</v>
      </c>
      <c r="M226" t="str">
        <f>IF(L226=0,"",IF(#REF!&gt;0,"CONTRATISTA",IF(#REF!&gt;0,"CLIENTE","SIN_INFO")))</f>
        <v/>
      </c>
      <c r="N226" s="4"/>
    </row>
    <row r="227" spans="1:14" hidden="1">
      <c r="A227" s="2">
        <v>46190</v>
      </c>
      <c r="B227" t="s">
        <v>40</v>
      </c>
      <c r="C227" t="s">
        <v>41</v>
      </c>
      <c r="D227" t="s">
        <v>16</v>
      </c>
      <c r="E227">
        <v>0</v>
      </c>
      <c r="F227">
        <v>24</v>
      </c>
      <c r="G227">
        <v>0</v>
      </c>
      <c r="H227">
        <v>0</v>
      </c>
      <c r="I227">
        <v>0</v>
      </c>
      <c r="J227">
        <v>0</v>
      </c>
      <c r="K227">
        <f t="shared" si="3"/>
        <v>24</v>
      </c>
      <c r="L227">
        <v>0</v>
      </c>
      <c r="M227" t="str">
        <f>IF(L227=0,"",IF(#REF!&gt;0,"CONTRATISTA",IF(#REF!&gt;0,"CLIENTE","SIN_INFO")))</f>
        <v/>
      </c>
      <c r="N227" s="4"/>
    </row>
    <row r="228" spans="1:14" hidden="1">
      <c r="A228" s="2">
        <v>46190</v>
      </c>
      <c r="B228" t="s">
        <v>40</v>
      </c>
      <c r="C228" t="s">
        <v>41</v>
      </c>
      <c r="D228" t="s">
        <v>17</v>
      </c>
      <c r="E228">
        <v>1</v>
      </c>
      <c r="F228">
        <v>23</v>
      </c>
      <c r="G228">
        <v>1129</v>
      </c>
      <c r="H228">
        <v>0</v>
      </c>
      <c r="I228">
        <v>0</v>
      </c>
      <c r="J228">
        <v>0</v>
      </c>
      <c r="K228">
        <f t="shared" si="3"/>
        <v>24</v>
      </c>
      <c r="L228">
        <v>0</v>
      </c>
      <c r="M228" t="str">
        <f>IF(L228=0,"",IF(#REF!&gt;0,"CONTRATISTA",IF(#REF!&gt;0,"CLIENTE","SIN_INFO")))</f>
        <v/>
      </c>
      <c r="N228" s="4"/>
    </row>
    <row r="229" spans="1:14" hidden="1">
      <c r="A229" s="2">
        <v>46190</v>
      </c>
      <c r="B229" t="s">
        <v>40</v>
      </c>
      <c r="C229" t="s">
        <v>41</v>
      </c>
      <c r="D229" t="s">
        <v>18</v>
      </c>
      <c r="E229">
        <v>11</v>
      </c>
      <c r="F229">
        <v>13</v>
      </c>
      <c r="G229">
        <v>8892</v>
      </c>
      <c r="H229">
        <v>0</v>
      </c>
      <c r="I229">
        <v>0</v>
      </c>
      <c r="J229">
        <v>0</v>
      </c>
      <c r="K229">
        <f t="shared" si="3"/>
        <v>24</v>
      </c>
      <c r="L229">
        <v>0</v>
      </c>
      <c r="M229" t="str">
        <f>IF(L229=0,"",IF(#REF!&gt;0,"CONTRATISTA",IF(#REF!&gt;0,"CLIENTE","SIN_INFO")))</f>
        <v/>
      </c>
      <c r="N229" s="4"/>
    </row>
    <row r="230" spans="1:14" hidden="1">
      <c r="A230" s="2">
        <v>46190</v>
      </c>
      <c r="B230" t="s">
        <v>40</v>
      </c>
      <c r="C230" t="s">
        <v>42</v>
      </c>
      <c r="D230" t="s">
        <v>19</v>
      </c>
      <c r="E230">
        <v>24</v>
      </c>
      <c r="F230">
        <v>0</v>
      </c>
      <c r="G230">
        <v>9207</v>
      </c>
      <c r="H230">
        <v>0</v>
      </c>
      <c r="I230">
        <v>0</v>
      </c>
      <c r="J230">
        <v>0</v>
      </c>
      <c r="K230">
        <f t="shared" si="3"/>
        <v>24</v>
      </c>
      <c r="L230">
        <v>0</v>
      </c>
      <c r="M230" t="str">
        <f>IF(L230=0,"",IF(#REF!&gt;0,"CONTRATISTA",IF(#REF!&gt;0,"CLIENTE","SIN_INFO")))</f>
        <v/>
      </c>
      <c r="N230" s="3"/>
    </row>
    <row r="231" spans="1:14" hidden="1">
      <c r="A231" s="2">
        <v>46190</v>
      </c>
      <c r="B231" t="s">
        <v>40</v>
      </c>
      <c r="C231" t="s">
        <v>42</v>
      </c>
      <c r="D231" t="s">
        <v>20</v>
      </c>
      <c r="E231">
        <v>24</v>
      </c>
      <c r="F231">
        <v>0</v>
      </c>
      <c r="G231">
        <v>8938</v>
      </c>
      <c r="H231">
        <v>0</v>
      </c>
      <c r="I231">
        <v>0</v>
      </c>
      <c r="J231">
        <v>0</v>
      </c>
      <c r="K231">
        <f t="shared" si="3"/>
        <v>24</v>
      </c>
      <c r="L231">
        <v>0</v>
      </c>
      <c r="M231" t="str">
        <f>IF(L231=0,"",IF(#REF!&gt;0,"CONTRATISTA",IF(#REF!&gt;0,"CLIENTE","SIN_INFO")))</f>
        <v/>
      </c>
      <c r="N231" s="3"/>
    </row>
    <row r="232" spans="1:14" hidden="1">
      <c r="A232" s="2">
        <v>46190</v>
      </c>
      <c r="B232" t="s">
        <v>40</v>
      </c>
      <c r="C232" t="s">
        <v>41</v>
      </c>
      <c r="D232" t="s">
        <v>21</v>
      </c>
      <c r="E232">
        <v>23</v>
      </c>
      <c r="F232">
        <v>1</v>
      </c>
      <c r="G232">
        <v>8858</v>
      </c>
      <c r="H232">
        <v>0</v>
      </c>
      <c r="I232">
        <v>0</v>
      </c>
      <c r="J232">
        <v>0</v>
      </c>
      <c r="K232">
        <f t="shared" si="3"/>
        <v>24</v>
      </c>
      <c r="L232">
        <v>0</v>
      </c>
      <c r="M232" t="str">
        <f>IF(L232=0,"",IF(#REF!&gt;0,"CONTRATISTA",IF(#REF!&gt;0,"CLIENTE","SIN_INFO")))</f>
        <v/>
      </c>
      <c r="N232" s="3"/>
    </row>
    <row r="233" spans="1:14" hidden="1">
      <c r="A233" s="2">
        <v>46190</v>
      </c>
      <c r="B233" t="s">
        <v>40</v>
      </c>
      <c r="C233" t="s">
        <v>41</v>
      </c>
      <c r="D233" t="s">
        <v>22</v>
      </c>
      <c r="E233">
        <v>9</v>
      </c>
      <c r="F233">
        <v>15</v>
      </c>
      <c r="G233">
        <v>2977</v>
      </c>
      <c r="H233">
        <v>0</v>
      </c>
      <c r="I233">
        <v>0</v>
      </c>
      <c r="J233">
        <v>0</v>
      </c>
      <c r="K233">
        <f t="shared" si="3"/>
        <v>24</v>
      </c>
      <c r="L233">
        <v>0</v>
      </c>
      <c r="M233" t="str">
        <f>IF(L233=0,"",IF(#REF!&gt;0,"CONTRATISTA",IF(#REF!&gt;0,"CLIENTE","SIN_INFO")))</f>
        <v/>
      </c>
      <c r="N233" s="3"/>
    </row>
    <row r="234" spans="1:14" hidden="1">
      <c r="A234" s="2">
        <v>46190</v>
      </c>
      <c r="B234" t="s">
        <v>40</v>
      </c>
      <c r="C234" t="s">
        <v>41</v>
      </c>
      <c r="D234" t="s">
        <v>23</v>
      </c>
      <c r="E234">
        <v>20</v>
      </c>
      <c r="F234">
        <v>4</v>
      </c>
      <c r="G234">
        <v>3097</v>
      </c>
      <c r="H234">
        <v>0</v>
      </c>
      <c r="I234">
        <v>0</v>
      </c>
      <c r="J234">
        <v>0</v>
      </c>
      <c r="K234">
        <f t="shared" si="3"/>
        <v>24</v>
      </c>
      <c r="L234">
        <v>0</v>
      </c>
      <c r="M234" t="str">
        <f>IF(L234=0,"",IF(#REF!&gt;0,"CONTRATISTA",IF(#REF!&gt;0,"CLIENTE","SIN_INFO")))</f>
        <v/>
      </c>
      <c r="N234" s="4"/>
    </row>
    <row r="235" spans="1:14" hidden="1">
      <c r="A235" s="2">
        <v>46191</v>
      </c>
      <c r="B235" t="s">
        <v>40</v>
      </c>
      <c r="C235" t="s">
        <v>41</v>
      </c>
      <c r="D235" t="s">
        <v>9</v>
      </c>
      <c r="E235">
        <v>24</v>
      </c>
      <c r="F235">
        <v>0</v>
      </c>
      <c r="G235">
        <v>15975</v>
      </c>
      <c r="H235">
        <v>0</v>
      </c>
      <c r="I235">
        <v>0</v>
      </c>
      <c r="J235">
        <v>0</v>
      </c>
      <c r="K235">
        <f t="shared" si="3"/>
        <v>24</v>
      </c>
      <c r="L235">
        <v>0</v>
      </c>
      <c r="M235" t="str">
        <f>IF(L235=0,"",IF(#REF!&gt;0,"CONTRATISTA",IF(#REF!&gt;0,"CLIENTE","SIN_INFO")))</f>
        <v/>
      </c>
      <c r="N235" s="4"/>
    </row>
    <row r="236" spans="1:14" hidden="1">
      <c r="A236" s="2">
        <v>46191</v>
      </c>
      <c r="B236" t="s">
        <v>40</v>
      </c>
      <c r="C236" t="s">
        <v>41</v>
      </c>
      <c r="D236" t="s">
        <v>10</v>
      </c>
      <c r="E236">
        <v>24</v>
      </c>
      <c r="F236">
        <v>0</v>
      </c>
      <c r="G236">
        <v>15818</v>
      </c>
      <c r="H236">
        <v>0</v>
      </c>
      <c r="I236">
        <v>0</v>
      </c>
      <c r="J236">
        <v>0</v>
      </c>
      <c r="K236">
        <f t="shared" si="3"/>
        <v>24</v>
      </c>
      <c r="L236">
        <v>0</v>
      </c>
      <c r="M236" t="str">
        <f>IF(L236=0,"",IF(#REF!&gt;0,"CONTRATISTA",IF(#REF!&gt;0,"CLIENTE","SIN_INFO")))</f>
        <v/>
      </c>
      <c r="N236" s="4"/>
    </row>
    <row r="237" spans="1:14" hidden="1">
      <c r="A237" s="2">
        <v>46191</v>
      </c>
      <c r="B237" t="s">
        <v>40</v>
      </c>
      <c r="C237" t="s">
        <v>41</v>
      </c>
      <c r="D237" t="s">
        <v>11</v>
      </c>
      <c r="E237">
        <v>24</v>
      </c>
      <c r="F237">
        <v>0</v>
      </c>
      <c r="G237">
        <v>15986</v>
      </c>
      <c r="H237">
        <v>0</v>
      </c>
      <c r="I237">
        <v>0</v>
      </c>
      <c r="J237">
        <v>0</v>
      </c>
      <c r="K237">
        <f t="shared" si="3"/>
        <v>24</v>
      </c>
      <c r="L237">
        <v>0</v>
      </c>
      <c r="M237" t="str">
        <f>IF(L237=0,"",IF(#REF!&gt;0,"CONTRATISTA",IF(#REF!&gt;0,"CLIENTE","SIN_INFO")))</f>
        <v/>
      </c>
      <c r="N237" s="4"/>
    </row>
    <row r="238" spans="1:14" hidden="1">
      <c r="A238" s="2">
        <v>46191</v>
      </c>
      <c r="B238" t="s">
        <v>40</v>
      </c>
      <c r="C238" t="s">
        <v>41</v>
      </c>
      <c r="D238" t="s">
        <v>12</v>
      </c>
      <c r="E238">
        <v>24</v>
      </c>
      <c r="F238">
        <v>0</v>
      </c>
      <c r="G238">
        <v>20570</v>
      </c>
      <c r="H238">
        <v>0</v>
      </c>
      <c r="I238">
        <v>0</v>
      </c>
      <c r="J238">
        <v>0</v>
      </c>
      <c r="K238">
        <f t="shared" si="3"/>
        <v>24</v>
      </c>
      <c r="L238">
        <v>0</v>
      </c>
      <c r="M238" t="str">
        <f>IF(L238=0,"",IF(#REF!&gt;0,"CONTRATISTA",IF(#REF!&gt;0,"CLIENTE","SIN_INFO")))</f>
        <v/>
      </c>
      <c r="N238" s="4"/>
    </row>
    <row r="239" spans="1:14" hidden="1">
      <c r="A239" s="2">
        <v>46191</v>
      </c>
      <c r="B239" t="s">
        <v>40</v>
      </c>
      <c r="C239" t="s">
        <v>41</v>
      </c>
      <c r="D239" t="s">
        <v>13</v>
      </c>
      <c r="E239">
        <v>24</v>
      </c>
      <c r="F239">
        <v>0</v>
      </c>
      <c r="G239">
        <v>20501</v>
      </c>
      <c r="H239">
        <v>0</v>
      </c>
      <c r="I239">
        <v>0</v>
      </c>
      <c r="J239">
        <v>0</v>
      </c>
      <c r="K239">
        <f t="shared" si="3"/>
        <v>24</v>
      </c>
      <c r="L239">
        <v>0</v>
      </c>
      <c r="M239" t="str">
        <f>IF(L239=0,"",IF(#REF!&gt;0,"CONTRATISTA",IF(#REF!&gt;0,"CLIENTE","SIN_INFO")))</f>
        <v/>
      </c>
      <c r="N239" s="4"/>
    </row>
    <row r="240" spans="1:14" hidden="1">
      <c r="A240" s="2">
        <v>46191</v>
      </c>
      <c r="B240" t="s">
        <v>40</v>
      </c>
      <c r="C240" t="s">
        <v>41</v>
      </c>
      <c r="D240" t="s">
        <v>14</v>
      </c>
      <c r="E240">
        <v>24</v>
      </c>
      <c r="F240">
        <v>0</v>
      </c>
      <c r="G240">
        <v>20758</v>
      </c>
      <c r="H240">
        <v>0</v>
      </c>
      <c r="I240">
        <v>0</v>
      </c>
      <c r="J240">
        <v>0</v>
      </c>
      <c r="K240">
        <f t="shared" si="3"/>
        <v>24</v>
      </c>
      <c r="L240">
        <v>0</v>
      </c>
      <c r="M240" t="str">
        <f>IF(L240=0,"",IF(#REF!&gt;0,"CONTRATISTA",IF(#REF!&gt;0,"CLIENTE","SIN_INFO")))</f>
        <v/>
      </c>
      <c r="N240" s="4"/>
    </row>
    <row r="241" spans="1:14" hidden="1">
      <c r="A241" s="2">
        <v>46191</v>
      </c>
      <c r="B241" t="s">
        <v>40</v>
      </c>
      <c r="C241" t="s">
        <v>41</v>
      </c>
      <c r="D241" t="s">
        <v>15</v>
      </c>
      <c r="E241">
        <v>24</v>
      </c>
      <c r="F241">
        <v>0</v>
      </c>
      <c r="G241">
        <v>16545</v>
      </c>
      <c r="H241">
        <v>0</v>
      </c>
      <c r="I241">
        <v>0</v>
      </c>
      <c r="J241">
        <v>0</v>
      </c>
      <c r="K241">
        <f t="shared" si="3"/>
        <v>24</v>
      </c>
      <c r="L241">
        <v>0</v>
      </c>
      <c r="M241" t="str">
        <f>IF(L241=0,"",IF(#REF!&gt;0,"CONTRATISTA",IF(#REF!&gt;0,"CLIENTE","SIN_INFO")))</f>
        <v/>
      </c>
      <c r="N241" s="4"/>
    </row>
    <row r="242" spans="1:14" hidden="1">
      <c r="A242" s="2">
        <v>46191</v>
      </c>
      <c r="B242" t="s">
        <v>40</v>
      </c>
      <c r="C242" t="s">
        <v>41</v>
      </c>
      <c r="D242" t="s">
        <v>16</v>
      </c>
      <c r="E242">
        <v>0</v>
      </c>
      <c r="F242">
        <v>24</v>
      </c>
      <c r="G242">
        <v>0</v>
      </c>
      <c r="H242">
        <v>0</v>
      </c>
      <c r="I242">
        <v>0</v>
      </c>
      <c r="J242">
        <v>0</v>
      </c>
      <c r="K242">
        <f t="shared" si="3"/>
        <v>24</v>
      </c>
      <c r="L242">
        <v>0</v>
      </c>
      <c r="M242" t="str">
        <f>IF(L242=0,"",IF(#REF!&gt;0,"CONTRATISTA",IF(#REF!&gt;0,"CLIENTE","SIN_INFO")))</f>
        <v/>
      </c>
      <c r="N242" s="4"/>
    </row>
    <row r="243" spans="1:14" hidden="1">
      <c r="A243" s="2">
        <v>46191</v>
      </c>
      <c r="B243" t="s">
        <v>40</v>
      </c>
      <c r="C243" t="s">
        <v>41</v>
      </c>
      <c r="D243" t="s">
        <v>17</v>
      </c>
      <c r="E243">
        <v>0</v>
      </c>
      <c r="F243">
        <v>24</v>
      </c>
      <c r="G243">
        <v>0</v>
      </c>
      <c r="H243">
        <v>0</v>
      </c>
      <c r="I243">
        <v>0</v>
      </c>
      <c r="J243">
        <v>0</v>
      </c>
      <c r="K243">
        <f t="shared" si="3"/>
        <v>24</v>
      </c>
      <c r="L243">
        <v>0</v>
      </c>
      <c r="M243" t="str">
        <f>IF(L243=0,"",IF(#REF!&gt;0,"CONTRATISTA",IF(#REF!&gt;0,"CLIENTE","SIN_INFO")))</f>
        <v/>
      </c>
      <c r="N243" s="4"/>
    </row>
    <row r="244" spans="1:14" hidden="1">
      <c r="A244" s="2">
        <v>46191</v>
      </c>
      <c r="B244" t="s">
        <v>40</v>
      </c>
      <c r="C244" t="s">
        <v>41</v>
      </c>
      <c r="D244" t="s">
        <v>18</v>
      </c>
      <c r="E244">
        <v>0</v>
      </c>
      <c r="F244">
        <v>24</v>
      </c>
      <c r="G244">
        <v>0</v>
      </c>
      <c r="H244">
        <v>0</v>
      </c>
      <c r="I244">
        <v>0</v>
      </c>
      <c r="J244">
        <v>0</v>
      </c>
      <c r="K244">
        <f t="shared" si="3"/>
        <v>24</v>
      </c>
      <c r="L244">
        <v>0</v>
      </c>
      <c r="M244" t="str">
        <f>IF(L244=0,"",IF(#REF!&gt;0,"CONTRATISTA",IF(#REF!&gt;0,"CLIENTE","SIN_INFO")))</f>
        <v/>
      </c>
      <c r="N244" s="4"/>
    </row>
    <row r="245" spans="1:14" hidden="1">
      <c r="A245" s="2">
        <v>46191</v>
      </c>
      <c r="B245" t="s">
        <v>40</v>
      </c>
      <c r="C245" t="s">
        <v>42</v>
      </c>
      <c r="D245" t="s">
        <v>19</v>
      </c>
      <c r="E245">
        <v>17</v>
      </c>
      <c r="F245">
        <v>7</v>
      </c>
      <c r="G245">
        <v>5266</v>
      </c>
      <c r="H245">
        <v>0</v>
      </c>
      <c r="I245">
        <v>0</v>
      </c>
      <c r="J245">
        <v>0</v>
      </c>
      <c r="K245">
        <f t="shared" si="3"/>
        <v>24</v>
      </c>
      <c r="L245">
        <v>0</v>
      </c>
      <c r="M245" t="str">
        <f>IF(L245=0,"",IF(#REF!&gt;0,"CONTRATISTA",IF(#REF!&gt;0,"CLIENTE","SIN_INFO")))</f>
        <v/>
      </c>
      <c r="N245" s="4" t="s">
        <v>90</v>
      </c>
    </row>
    <row r="246" spans="1:14" hidden="1">
      <c r="A246" s="2">
        <v>46191</v>
      </c>
      <c r="B246" t="s">
        <v>40</v>
      </c>
      <c r="C246" t="s">
        <v>42</v>
      </c>
      <c r="D246" t="s">
        <v>20</v>
      </c>
      <c r="E246">
        <v>23</v>
      </c>
      <c r="F246">
        <v>1</v>
      </c>
      <c r="G246">
        <v>2461</v>
      </c>
      <c r="H246">
        <v>0</v>
      </c>
      <c r="I246">
        <v>0</v>
      </c>
      <c r="J246">
        <v>0</v>
      </c>
      <c r="K246">
        <f t="shared" si="3"/>
        <v>24</v>
      </c>
      <c r="L246">
        <v>0</v>
      </c>
      <c r="M246" t="str">
        <f>IF(L246=0,"",IF(#REF!&gt;0,"CONTRATISTA",IF(#REF!&gt;0,"CLIENTE","SIN_INFO")))</f>
        <v/>
      </c>
      <c r="N246" s="4" t="s">
        <v>91</v>
      </c>
    </row>
    <row r="247" spans="1:14" hidden="1">
      <c r="A247" s="2">
        <v>46191</v>
      </c>
      <c r="B247" t="s">
        <v>40</v>
      </c>
      <c r="C247" t="s">
        <v>41</v>
      </c>
      <c r="D247" t="s">
        <v>21</v>
      </c>
      <c r="E247">
        <v>14</v>
      </c>
      <c r="F247">
        <v>10</v>
      </c>
      <c r="G247">
        <v>5131</v>
      </c>
      <c r="H247">
        <v>0</v>
      </c>
      <c r="I247">
        <v>0</v>
      </c>
      <c r="J247">
        <v>0</v>
      </c>
      <c r="K247">
        <f t="shared" si="3"/>
        <v>24</v>
      </c>
      <c r="L247">
        <v>0</v>
      </c>
      <c r="M247" t="str">
        <f>IF(L247=0,"",IF(#REF!&gt;0,"CONTRATISTA",IF(#REF!&gt;0,"CLIENTE","SIN_INFO")))</f>
        <v/>
      </c>
      <c r="N247" s="4" t="s">
        <v>92</v>
      </c>
    </row>
    <row r="248" spans="1:14" hidden="1">
      <c r="A248" s="2">
        <v>46191</v>
      </c>
      <c r="B248" t="s">
        <v>40</v>
      </c>
      <c r="C248" t="s">
        <v>41</v>
      </c>
      <c r="D248" t="s">
        <v>22</v>
      </c>
      <c r="E248">
        <v>8</v>
      </c>
      <c r="F248">
        <v>16</v>
      </c>
      <c r="G248">
        <v>6510</v>
      </c>
      <c r="H248">
        <v>0</v>
      </c>
      <c r="I248">
        <v>0</v>
      </c>
      <c r="J248">
        <v>0</v>
      </c>
      <c r="K248">
        <f t="shared" si="3"/>
        <v>24</v>
      </c>
      <c r="L248">
        <v>0</v>
      </c>
      <c r="M248" t="str">
        <f>IF(L248=0,"",IF(#REF!&gt;0,"CONTRATISTA",IF(#REF!&gt;0,"CLIENTE","SIN_INFO")))</f>
        <v/>
      </c>
      <c r="N248" s="4" t="s">
        <v>93</v>
      </c>
    </row>
    <row r="249" spans="1:14" hidden="1">
      <c r="A249" s="2">
        <v>46191</v>
      </c>
      <c r="B249" t="s">
        <v>40</v>
      </c>
      <c r="C249" t="s">
        <v>41</v>
      </c>
      <c r="D249" t="s">
        <v>23</v>
      </c>
      <c r="E249">
        <v>15</v>
      </c>
      <c r="F249">
        <v>9</v>
      </c>
      <c r="G249">
        <v>8471</v>
      </c>
      <c r="H249">
        <v>0</v>
      </c>
      <c r="I249">
        <v>0</v>
      </c>
      <c r="J249">
        <v>0</v>
      </c>
      <c r="K249">
        <f t="shared" si="3"/>
        <v>24</v>
      </c>
      <c r="L249">
        <v>0</v>
      </c>
      <c r="M249" t="str">
        <f>IF(L249=0,"",IF(#REF!&gt;0,"CONTRATISTA",IF(#REF!&gt;0,"CLIENTE","SIN_INFO")))</f>
        <v/>
      </c>
      <c r="N249" s="4" t="s">
        <v>92</v>
      </c>
    </row>
    <row r="250" spans="1:14" hidden="1">
      <c r="A250" s="2">
        <v>46192</v>
      </c>
      <c r="B250" t="s">
        <v>40</v>
      </c>
      <c r="C250" t="s">
        <v>41</v>
      </c>
      <c r="D250" t="s">
        <v>9</v>
      </c>
      <c r="E250">
        <v>24</v>
      </c>
      <c r="F250">
        <v>0</v>
      </c>
      <c r="G250">
        <v>15806</v>
      </c>
      <c r="H250">
        <v>0</v>
      </c>
      <c r="I250">
        <v>0</v>
      </c>
      <c r="J250">
        <v>0</v>
      </c>
      <c r="K250">
        <f t="shared" si="3"/>
        <v>24</v>
      </c>
      <c r="L250">
        <v>0</v>
      </c>
      <c r="M250" t="str">
        <f>IF(L250=0,"",IF(#REF!&gt;0,"CONTRATISTA",IF(#REF!&gt;0,"CLIENTE","SIN_INFO")))</f>
        <v/>
      </c>
      <c r="N250" s="4"/>
    </row>
    <row r="251" spans="1:14" hidden="1">
      <c r="A251" s="2">
        <v>46192</v>
      </c>
      <c r="B251" t="s">
        <v>40</v>
      </c>
      <c r="C251" t="s">
        <v>41</v>
      </c>
      <c r="D251" t="s">
        <v>10</v>
      </c>
      <c r="E251">
        <v>24</v>
      </c>
      <c r="F251">
        <v>0</v>
      </c>
      <c r="G251">
        <v>15772</v>
      </c>
      <c r="H251">
        <v>0</v>
      </c>
      <c r="I251">
        <v>0</v>
      </c>
      <c r="J251">
        <v>0</v>
      </c>
      <c r="K251">
        <f t="shared" si="3"/>
        <v>24</v>
      </c>
      <c r="L251">
        <v>0</v>
      </c>
      <c r="M251" t="str">
        <f>IF(L251=0,"",IF(#REF!&gt;0,"CONTRATISTA",IF(#REF!&gt;0,"CLIENTE","SIN_INFO")))</f>
        <v/>
      </c>
      <c r="N251" s="4"/>
    </row>
    <row r="252" spans="1:14" hidden="1">
      <c r="A252" s="2">
        <v>46192</v>
      </c>
      <c r="B252" t="s">
        <v>40</v>
      </c>
      <c r="C252" t="s">
        <v>41</v>
      </c>
      <c r="D252" t="s">
        <v>11</v>
      </c>
      <c r="E252">
        <v>24</v>
      </c>
      <c r="F252">
        <v>0</v>
      </c>
      <c r="G252">
        <v>15825</v>
      </c>
      <c r="H252">
        <v>0</v>
      </c>
      <c r="I252">
        <v>0</v>
      </c>
      <c r="J252">
        <v>0</v>
      </c>
      <c r="K252">
        <f t="shared" si="3"/>
        <v>24</v>
      </c>
      <c r="L252">
        <v>0</v>
      </c>
      <c r="M252" t="str">
        <f>IF(L252=0,"",IF(#REF!&gt;0,"CONTRATISTA",IF(#REF!&gt;0,"CLIENTE","SIN_INFO")))</f>
        <v/>
      </c>
      <c r="N252" s="4"/>
    </row>
    <row r="253" spans="1:14" hidden="1">
      <c r="A253" s="2">
        <v>46192</v>
      </c>
      <c r="B253" t="s">
        <v>40</v>
      </c>
      <c r="C253" t="s">
        <v>41</v>
      </c>
      <c r="D253" t="s">
        <v>12</v>
      </c>
      <c r="E253">
        <v>24</v>
      </c>
      <c r="F253">
        <v>0</v>
      </c>
      <c r="G253">
        <v>20172</v>
      </c>
      <c r="H253">
        <v>0</v>
      </c>
      <c r="I253">
        <v>0</v>
      </c>
      <c r="J253">
        <v>0</v>
      </c>
      <c r="K253">
        <f t="shared" si="3"/>
        <v>24</v>
      </c>
      <c r="L253">
        <v>0</v>
      </c>
      <c r="M253" t="str">
        <f>IF(L253=0,"",IF(#REF!&gt;0,"CONTRATISTA",IF(#REF!&gt;0,"CLIENTE","SIN_INFO")))</f>
        <v/>
      </c>
      <c r="N253" s="4"/>
    </row>
    <row r="254" spans="1:14" hidden="1">
      <c r="A254" s="2">
        <v>46192</v>
      </c>
      <c r="B254" t="s">
        <v>40</v>
      </c>
      <c r="C254" t="s">
        <v>41</v>
      </c>
      <c r="D254" t="s">
        <v>13</v>
      </c>
      <c r="E254">
        <v>24</v>
      </c>
      <c r="F254">
        <v>0</v>
      </c>
      <c r="G254">
        <v>20138</v>
      </c>
      <c r="H254">
        <v>0</v>
      </c>
      <c r="I254">
        <v>0</v>
      </c>
      <c r="J254">
        <v>0</v>
      </c>
      <c r="K254">
        <f t="shared" si="3"/>
        <v>24</v>
      </c>
      <c r="L254">
        <v>0</v>
      </c>
      <c r="M254" t="str">
        <f>IF(L254=0,"",IF(#REF!&gt;0,"CONTRATISTA",IF(#REF!&gt;0,"CLIENTE","SIN_INFO")))</f>
        <v/>
      </c>
      <c r="N254" s="4"/>
    </row>
    <row r="255" spans="1:14" hidden="1">
      <c r="A255" s="2">
        <v>46192</v>
      </c>
      <c r="B255" t="s">
        <v>40</v>
      </c>
      <c r="C255" t="s">
        <v>41</v>
      </c>
      <c r="D255" t="s">
        <v>14</v>
      </c>
      <c r="E255">
        <v>24</v>
      </c>
      <c r="F255">
        <v>0</v>
      </c>
      <c r="G255">
        <v>20330</v>
      </c>
      <c r="H255">
        <v>0</v>
      </c>
      <c r="I255">
        <v>0</v>
      </c>
      <c r="J255">
        <v>0</v>
      </c>
      <c r="K255">
        <f t="shared" si="3"/>
        <v>24</v>
      </c>
      <c r="L255">
        <v>0</v>
      </c>
      <c r="M255" t="str">
        <f>IF(L255=0,"",IF(#REF!&gt;0,"CONTRATISTA",IF(#REF!&gt;0,"CLIENTE","SIN_INFO")))</f>
        <v/>
      </c>
      <c r="N255" s="4"/>
    </row>
    <row r="256" spans="1:14" hidden="1">
      <c r="A256" s="2">
        <v>46192</v>
      </c>
      <c r="B256" t="s">
        <v>40</v>
      </c>
      <c r="C256" t="s">
        <v>41</v>
      </c>
      <c r="D256" t="s">
        <v>15</v>
      </c>
      <c r="E256">
        <v>24</v>
      </c>
      <c r="F256">
        <v>0</v>
      </c>
      <c r="G256">
        <v>16258</v>
      </c>
      <c r="H256">
        <v>0</v>
      </c>
      <c r="I256">
        <v>0</v>
      </c>
      <c r="J256">
        <v>0</v>
      </c>
      <c r="K256">
        <f t="shared" si="3"/>
        <v>24</v>
      </c>
      <c r="L256">
        <v>0</v>
      </c>
      <c r="M256" t="str">
        <f>IF(L256=0,"",IF(#REF!&gt;0,"CONTRATISTA",IF(#REF!&gt;0,"CLIENTE","SIN_INFO")))</f>
        <v/>
      </c>
      <c r="N256" s="4"/>
    </row>
    <row r="257" spans="1:14" hidden="1">
      <c r="A257" s="2">
        <v>46192</v>
      </c>
      <c r="B257" t="s">
        <v>40</v>
      </c>
      <c r="C257" t="s">
        <v>41</v>
      </c>
      <c r="D257" t="s">
        <v>16</v>
      </c>
      <c r="E257">
        <v>0</v>
      </c>
      <c r="F257">
        <v>24</v>
      </c>
      <c r="G257">
        <v>0</v>
      </c>
      <c r="H257">
        <v>0</v>
      </c>
      <c r="I257">
        <v>0</v>
      </c>
      <c r="J257">
        <v>0</v>
      </c>
      <c r="K257">
        <f t="shared" si="3"/>
        <v>24</v>
      </c>
      <c r="L257">
        <v>0</v>
      </c>
      <c r="M257" t="str">
        <f>IF(L257=0,"",IF(#REF!&gt;0,"CONTRATISTA",IF(#REF!&gt;0,"CLIENTE","SIN_INFO")))</f>
        <v/>
      </c>
      <c r="N257" s="4"/>
    </row>
    <row r="258" spans="1:14" hidden="1">
      <c r="A258" s="2">
        <v>46192</v>
      </c>
      <c r="B258" t="s">
        <v>40</v>
      </c>
      <c r="C258" t="s">
        <v>41</v>
      </c>
      <c r="D258" t="s">
        <v>17</v>
      </c>
      <c r="E258">
        <v>0</v>
      </c>
      <c r="F258">
        <v>24</v>
      </c>
      <c r="G258">
        <v>0</v>
      </c>
      <c r="H258">
        <v>0</v>
      </c>
      <c r="I258">
        <v>0</v>
      </c>
      <c r="J258">
        <v>0</v>
      </c>
      <c r="K258">
        <f t="shared" si="3"/>
        <v>24</v>
      </c>
      <c r="L258">
        <v>0</v>
      </c>
      <c r="M258" t="str">
        <f>IF(L258=0,"",IF(#REF!&gt;0,"CONTRATISTA",IF(#REF!&gt;0,"CLIENTE","SIN_INFO")))</f>
        <v/>
      </c>
      <c r="N258" s="4"/>
    </row>
    <row r="259" spans="1:14" hidden="1">
      <c r="A259" s="2">
        <v>46192</v>
      </c>
      <c r="B259" t="s">
        <v>40</v>
      </c>
      <c r="C259" t="s">
        <v>41</v>
      </c>
      <c r="D259" t="s">
        <v>18</v>
      </c>
      <c r="E259">
        <v>0</v>
      </c>
      <c r="F259">
        <v>24</v>
      </c>
      <c r="G259">
        <v>0</v>
      </c>
      <c r="H259">
        <v>0</v>
      </c>
      <c r="I259">
        <v>0</v>
      </c>
      <c r="J259">
        <v>0</v>
      </c>
      <c r="K259">
        <f t="shared" si="3"/>
        <v>24</v>
      </c>
      <c r="L259">
        <v>0</v>
      </c>
      <c r="M259" t="str">
        <f>IF(L259=0,"",IF(#REF!&gt;0,"CONTRATISTA",IF(#REF!&gt;0,"CLIENTE","SIN_INFO")))</f>
        <v/>
      </c>
      <c r="N259" s="4"/>
    </row>
    <row r="260" spans="1:14" hidden="1">
      <c r="A260" s="2">
        <v>46192</v>
      </c>
      <c r="B260" t="s">
        <v>40</v>
      </c>
      <c r="C260" t="s">
        <v>42</v>
      </c>
      <c r="D260" t="s">
        <v>19</v>
      </c>
      <c r="E260">
        <v>24</v>
      </c>
      <c r="F260">
        <v>0</v>
      </c>
      <c r="G260">
        <v>9597</v>
      </c>
      <c r="H260">
        <v>0</v>
      </c>
      <c r="I260">
        <v>0</v>
      </c>
      <c r="J260">
        <v>0</v>
      </c>
      <c r="K260">
        <f t="shared" ref="K260:K323" si="4">SUM(E260+F260+H260+I260+J260)</f>
        <v>24</v>
      </c>
      <c r="L260">
        <v>0</v>
      </c>
      <c r="M260" t="str">
        <f>IF(L260=0,"",IF(#REF!&gt;0,"CONTRATISTA",IF(#REF!&gt;0,"CLIENTE","SIN_INFO")))</f>
        <v/>
      </c>
      <c r="N260" s="4"/>
    </row>
    <row r="261" spans="1:14" hidden="1">
      <c r="A261" s="2">
        <v>46192</v>
      </c>
      <c r="B261" t="s">
        <v>40</v>
      </c>
      <c r="C261" t="s">
        <v>42</v>
      </c>
      <c r="D261" t="s">
        <v>20</v>
      </c>
      <c r="E261">
        <v>24</v>
      </c>
      <c r="F261">
        <v>0</v>
      </c>
      <c r="G261">
        <v>9219</v>
      </c>
      <c r="H261">
        <v>0</v>
      </c>
      <c r="I261">
        <v>0</v>
      </c>
      <c r="J261">
        <v>0</v>
      </c>
      <c r="K261">
        <f t="shared" si="4"/>
        <v>24</v>
      </c>
      <c r="L261">
        <v>0</v>
      </c>
      <c r="M261" t="str">
        <f>IF(L261=0,"",IF(#REF!&gt;0,"CONTRATISTA",IF(#REF!&gt;0,"CLIENTE","SIN_INFO")))</f>
        <v/>
      </c>
      <c r="N261" s="4"/>
    </row>
    <row r="262" spans="1:14" hidden="1">
      <c r="A262" s="2">
        <v>46192</v>
      </c>
      <c r="B262" t="s">
        <v>40</v>
      </c>
      <c r="C262" t="s">
        <v>41</v>
      </c>
      <c r="D262" t="s">
        <v>21</v>
      </c>
      <c r="E262">
        <v>19</v>
      </c>
      <c r="F262">
        <v>5</v>
      </c>
      <c r="G262">
        <v>7221</v>
      </c>
      <c r="H262">
        <v>0</v>
      </c>
      <c r="I262">
        <v>0</v>
      </c>
      <c r="J262">
        <v>0</v>
      </c>
      <c r="K262">
        <f t="shared" si="4"/>
        <v>24</v>
      </c>
      <c r="L262">
        <v>0</v>
      </c>
      <c r="M262" t="str">
        <f>IF(L262=0,"",IF(#REF!&gt;0,"CONTRATISTA",IF(#REF!&gt;0,"CLIENTE","SIN_INFO")))</f>
        <v/>
      </c>
      <c r="N262" s="4" t="s">
        <v>94</v>
      </c>
    </row>
    <row r="263" spans="1:14" hidden="1">
      <c r="A263" s="2">
        <v>46192</v>
      </c>
      <c r="B263" t="s">
        <v>40</v>
      </c>
      <c r="C263" t="s">
        <v>41</v>
      </c>
      <c r="D263" t="s">
        <v>22</v>
      </c>
      <c r="E263">
        <v>14</v>
      </c>
      <c r="F263">
        <v>10</v>
      </c>
      <c r="G263">
        <v>5268</v>
      </c>
      <c r="H263">
        <v>0</v>
      </c>
      <c r="I263">
        <v>0</v>
      </c>
      <c r="J263">
        <v>0</v>
      </c>
      <c r="K263">
        <f t="shared" si="4"/>
        <v>24</v>
      </c>
      <c r="L263">
        <v>0</v>
      </c>
      <c r="M263" t="str">
        <f>IF(L263=0,"",IF(#REF!&gt;0,"CONTRATISTA",IF(#REF!&gt;0,"CLIENTE","SIN_INFO")))</f>
        <v/>
      </c>
      <c r="N263" s="4" t="s">
        <v>95</v>
      </c>
    </row>
    <row r="264" spans="1:14" hidden="1">
      <c r="A264" s="2">
        <v>46192</v>
      </c>
      <c r="B264" t="s">
        <v>40</v>
      </c>
      <c r="C264" t="s">
        <v>41</v>
      </c>
      <c r="D264" t="s">
        <v>23</v>
      </c>
      <c r="E264">
        <v>24</v>
      </c>
      <c r="F264">
        <v>0</v>
      </c>
      <c r="G264">
        <v>8647</v>
      </c>
      <c r="H264">
        <v>0</v>
      </c>
      <c r="I264">
        <v>0</v>
      </c>
      <c r="J264">
        <v>0</v>
      </c>
      <c r="K264">
        <f t="shared" si="4"/>
        <v>24</v>
      </c>
      <c r="L264">
        <v>0</v>
      </c>
      <c r="M264" t="str">
        <f>IF(L264=0,"",IF(#REF!&gt;0,"CONTRATISTA",IF(#REF!&gt;0,"CLIENTE","SIN_INFO")))</f>
        <v/>
      </c>
      <c r="N264" s="4"/>
    </row>
    <row r="265" spans="1:14" hidden="1">
      <c r="A265" s="2">
        <v>46193</v>
      </c>
      <c r="B265" t="s">
        <v>40</v>
      </c>
      <c r="C265" t="s">
        <v>41</v>
      </c>
      <c r="D265" t="s">
        <v>9</v>
      </c>
      <c r="E265">
        <v>24</v>
      </c>
      <c r="F265">
        <v>0</v>
      </c>
      <c r="G265">
        <v>15333</v>
      </c>
      <c r="H265">
        <v>0</v>
      </c>
      <c r="I265">
        <v>0</v>
      </c>
      <c r="J265">
        <v>0</v>
      </c>
      <c r="K265">
        <f t="shared" si="4"/>
        <v>24</v>
      </c>
      <c r="L265">
        <v>0</v>
      </c>
      <c r="M265" t="str">
        <f>IF(L265=0,"",IF(#REF!&gt;0,"CONTRATISTA",IF(#REF!&gt;0,"CLIENTE","SIN_INFO")))</f>
        <v/>
      </c>
      <c r="N265" s="4"/>
    </row>
    <row r="266" spans="1:14" hidden="1">
      <c r="A266" s="2">
        <v>46193</v>
      </c>
      <c r="B266" t="s">
        <v>40</v>
      </c>
      <c r="C266" t="s">
        <v>41</v>
      </c>
      <c r="D266" t="s">
        <v>10</v>
      </c>
      <c r="E266">
        <v>24</v>
      </c>
      <c r="F266">
        <v>0</v>
      </c>
      <c r="G266">
        <v>15239</v>
      </c>
      <c r="H266">
        <v>0</v>
      </c>
      <c r="I266">
        <v>0</v>
      </c>
      <c r="J266">
        <v>0</v>
      </c>
      <c r="K266">
        <f t="shared" si="4"/>
        <v>24</v>
      </c>
      <c r="L266">
        <v>0</v>
      </c>
      <c r="M266" t="str">
        <f>IF(L266=0,"",IF(#REF!&gt;0,"CONTRATISTA",IF(#REF!&gt;0,"CLIENTE","SIN_INFO")))</f>
        <v/>
      </c>
      <c r="N266" s="4"/>
    </row>
    <row r="267" spans="1:14" hidden="1">
      <c r="A267" s="2">
        <v>46193</v>
      </c>
      <c r="B267" t="s">
        <v>40</v>
      </c>
      <c r="C267" t="s">
        <v>41</v>
      </c>
      <c r="D267" t="s">
        <v>11</v>
      </c>
      <c r="E267">
        <v>24</v>
      </c>
      <c r="F267">
        <v>0</v>
      </c>
      <c r="G267">
        <v>15588</v>
      </c>
      <c r="H267">
        <v>0</v>
      </c>
      <c r="I267">
        <v>0</v>
      </c>
      <c r="J267">
        <v>0</v>
      </c>
      <c r="K267">
        <f t="shared" si="4"/>
        <v>24</v>
      </c>
      <c r="L267">
        <v>0</v>
      </c>
      <c r="M267" t="str">
        <f>IF(L267=0,"",IF(#REF!&gt;0,"CONTRATISTA",IF(#REF!&gt;0,"CLIENTE","SIN_INFO")))</f>
        <v/>
      </c>
      <c r="N267" s="4"/>
    </row>
    <row r="268" spans="1:14" hidden="1">
      <c r="A268" s="2">
        <v>46193</v>
      </c>
      <c r="B268" t="s">
        <v>40</v>
      </c>
      <c r="C268" t="s">
        <v>41</v>
      </c>
      <c r="D268" t="s">
        <v>12</v>
      </c>
      <c r="E268">
        <v>24</v>
      </c>
      <c r="F268">
        <v>0</v>
      </c>
      <c r="G268">
        <v>19432</v>
      </c>
      <c r="H268">
        <v>0</v>
      </c>
      <c r="I268">
        <v>0</v>
      </c>
      <c r="J268">
        <v>0</v>
      </c>
      <c r="K268">
        <f t="shared" si="4"/>
        <v>24</v>
      </c>
      <c r="L268">
        <v>0</v>
      </c>
      <c r="M268" t="str">
        <f>IF(L268=0,"",IF(#REF!&gt;0,"CONTRATISTA",IF(#REF!&gt;0,"CLIENTE","SIN_INFO")))</f>
        <v/>
      </c>
      <c r="N268" s="4"/>
    </row>
    <row r="269" spans="1:14" hidden="1">
      <c r="A269" s="2">
        <v>46193</v>
      </c>
      <c r="B269" t="s">
        <v>40</v>
      </c>
      <c r="C269" t="s">
        <v>41</v>
      </c>
      <c r="D269" t="s">
        <v>13</v>
      </c>
      <c r="E269">
        <v>24</v>
      </c>
      <c r="F269">
        <v>0</v>
      </c>
      <c r="G269">
        <v>19481</v>
      </c>
      <c r="H269">
        <v>0</v>
      </c>
      <c r="I269">
        <v>0</v>
      </c>
      <c r="J269">
        <v>0</v>
      </c>
      <c r="K269">
        <f t="shared" si="4"/>
        <v>24</v>
      </c>
      <c r="L269">
        <v>0</v>
      </c>
      <c r="M269" t="str">
        <f>IF(L269=0,"",IF(#REF!&gt;0,"CONTRATISTA",IF(#REF!&gt;0,"CLIENTE","SIN_INFO")))</f>
        <v/>
      </c>
      <c r="N269" s="4"/>
    </row>
    <row r="270" spans="1:14" hidden="1">
      <c r="A270" s="2">
        <v>46193</v>
      </c>
      <c r="B270" t="s">
        <v>40</v>
      </c>
      <c r="C270" t="s">
        <v>41</v>
      </c>
      <c r="D270" t="s">
        <v>14</v>
      </c>
      <c r="E270">
        <v>24</v>
      </c>
      <c r="F270">
        <v>0</v>
      </c>
      <c r="G270">
        <v>19085</v>
      </c>
      <c r="H270">
        <v>0</v>
      </c>
      <c r="I270">
        <v>0</v>
      </c>
      <c r="J270">
        <v>0</v>
      </c>
      <c r="K270">
        <f t="shared" si="4"/>
        <v>24</v>
      </c>
      <c r="L270">
        <v>0</v>
      </c>
      <c r="M270" t="str">
        <f>IF(L270=0,"",IF(#REF!&gt;0,"CONTRATISTA",IF(#REF!&gt;0,"CLIENTE","SIN_INFO")))</f>
        <v/>
      </c>
      <c r="N270" s="4"/>
    </row>
    <row r="271" spans="1:14" hidden="1">
      <c r="A271" s="2">
        <v>46193</v>
      </c>
      <c r="B271" t="s">
        <v>40</v>
      </c>
      <c r="C271" t="s">
        <v>41</v>
      </c>
      <c r="D271" t="s">
        <v>15</v>
      </c>
      <c r="E271">
        <v>24</v>
      </c>
      <c r="F271">
        <v>0</v>
      </c>
      <c r="G271">
        <v>15824</v>
      </c>
      <c r="H271">
        <v>0</v>
      </c>
      <c r="I271">
        <v>0</v>
      </c>
      <c r="J271">
        <v>0</v>
      </c>
      <c r="K271">
        <f t="shared" si="4"/>
        <v>24</v>
      </c>
      <c r="L271">
        <v>0</v>
      </c>
      <c r="M271" t="str">
        <f>IF(L271=0,"",IF(#REF!&gt;0,"CONTRATISTA",IF(#REF!&gt;0,"CLIENTE","SIN_INFO")))</f>
        <v/>
      </c>
      <c r="N271" s="4"/>
    </row>
    <row r="272" spans="1:14" hidden="1">
      <c r="A272" s="2">
        <v>46193</v>
      </c>
      <c r="B272" t="s">
        <v>40</v>
      </c>
      <c r="C272" t="s">
        <v>41</v>
      </c>
      <c r="D272" t="s">
        <v>16</v>
      </c>
      <c r="E272">
        <v>0</v>
      </c>
      <c r="F272">
        <v>24</v>
      </c>
      <c r="G272">
        <v>0</v>
      </c>
      <c r="H272">
        <v>0</v>
      </c>
      <c r="I272">
        <v>0</v>
      </c>
      <c r="J272">
        <v>0</v>
      </c>
      <c r="K272">
        <f t="shared" si="4"/>
        <v>24</v>
      </c>
      <c r="L272">
        <v>0</v>
      </c>
      <c r="M272" t="str">
        <f>IF(L272=0,"",IF(#REF!&gt;0,"CONTRATISTA",IF(#REF!&gt;0,"CLIENTE","SIN_INFO")))</f>
        <v/>
      </c>
      <c r="N272" s="4"/>
    </row>
    <row r="273" spans="1:14" hidden="1">
      <c r="A273" s="2">
        <v>46193</v>
      </c>
      <c r="B273" t="s">
        <v>40</v>
      </c>
      <c r="C273" t="s">
        <v>41</v>
      </c>
      <c r="D273" t="s">
        <v>17</v>
      </c>
      <c r="E273">
        <v>0</v>
      </c>
      <c r="F273">
        <v>24</v>
      </c>
      <c r="G273">
        <v>0</v>
      </c>
      <c r="H273">
        <v>0</v>
      </c>
      <c r="I273">
        <v>0</v>
      </c>
      <c r="J273">
        <v>0</v>
      </c>
      <c r="K273">
        <f t="shared" si="4"/>
        <v>24</v>
      </c>
      <c r="L273">
        <v>0</v>
      </c>
      <c r="M273" t="str">
        <f>IF(L273=0,"",IF(#REF!&gt;0,"CONTRATISTA",IF(#REF!&gt;0,"CLIENTE","SIN_INFO")))</f>
        <v/>
      </c>
      <c r="N273" s="4"/>
    </row>
    <row r="274" spans="1:14" hidden="1">
      <c r="A274" s="2">
        <v>46193</v>
      </c>
      <c r="B274" t="s">
        <v>40</v>
      </c>
      <c r="C274" t="s">
        <v>41</v>
      </c>
      <c r="D274" t="s">
        <v>18</v>
      </c>
      <c r="E274">
        <v>0</v>
      </c>
      <c r="F274">
        <v>24</v>
      </c>
      <c r="G274">
        <v>0</v>
      </c>
      <c r="H274">
        <v>0</v>
      </c>
      <c r="I274">
        <v>0</v>
      </c>
      <c r="J274">
        <v>0</v>
      </c>
      <c r="K274">
        <f t="shared" si="4"/>
        <v>24</v>
      </c>
      <c r="L274">
        <v>0</v>
      </c>
      <c r="M274" t="str">
        <f>IF(L274=0,"",IF(#REF!&gt;0,"CONTRATISTA",IF(#REF!&gt;0,"CLIENTE","SIN_INFO")))</f>
        <v/>
      </c>
      <c r="N274" s="4"/>
    </row>
    <row r="275" spans="1:14" hidden="1">
      <c r="A275" s="2">
        <v>46193</v>
      </c>
      <c r="B275" t="s">
        <v>40</v>
      </c>
      <c r="C275" t="s">
        <v>42</v>
      </c>
      <c r="D275" t="s">
        <v>19</v>
      </c>
      <c r="E275">
        <v>24</v>
      </c>
      <c r="F275">
        <v>0</v>
      </c>
      <c r="G275">
        <v>9286</v>
      </c>
      <c r="H275">
        <v>0</v>
      </c>
      <c r="I275">
        <v>0</v>
      </c>
      <c r="J275">
        <v>0</v>
      </c>
      <c r="K275">
        <f t="shared" si="4"/>
        <v>24</v>
      </c>
      <c r="L275">
        <v>0</v>
      </c>
      <c r="M275" t="str">
        <f>IF(L275=0,"",IF(#REF!&gt;0,"CONTRATISTA",IF(#REF!&gt;0,"CLIENTE","SIN_INFO")))</f>
        <v/>
      </c>
      <c r="N275" s="4"/>
    </row>
    <row r="276" spans="1:14" hidden="1">
      <c r="A276" s="2">
        <v>46193</v>
      </c>
      <c r="B276" t="s">
        <v>40</v>
      </c>
      <c r="C276" t="s">
        <v>42</v>
      </c>
      <c r="D276" t="s">
        <v>20</v>
      </c>
      <c r="E276">
        <v>24</v>
      </c>
      <c r="F276">
        <v>0</v>
      </c>
      <c r="G276">
        <v>9759</v>
      </c>
      <c r="H276">
        <v>0</v>
      </c>
      <c r="I276">
        <v>0</v>
      </c>
      <c r="J276">
        <v>0</v>
      </c>
      <c r="K276">
        <f t="shared" si="4"/>
        <v>24</v>
      </c>
      <c r="L276">
        <v>0</v>
      </c>
      <c r="M276" t="str">
        <f>IF(L276=0,"",IF(#REF!&gt;0,"CONTRATISTA",IF(#REF!&gt;0,"CLIENTE","SIN_INFO")))</f>
        <v/>
      </c>
      <c r="N276" s="4"/>
    </row>
    <row r="277" spans="1:14" hidden="1">
      <c r="A277" s="2">
        <v>46193</v>
      </c>
      <c r="B277" t="s">
        <v>40</v>
      </c>
      <c r="C277" t="s">
        <v>41</v>
      </c>
      <c r="D277" t="s">
        <v>21</v>
      </c>
      <c r="E277">
        <v>20</v>
      </c>
      <c r="F277">
        <v>4</v>
      </c>
      <c r="G277">
        <v>7165</v>
      </c>
      <c r="H277">
        <v>0</v>
      </c>
      <c r="I277">
        <v>0</v>
      </c>
      <c r="J277">
        <v>0</v>
      </c>
      <c r="K277">
        <f t="shared" si="4"/>
        <v>24</v>
      </c>
      <c r="L277">
        <v>0</v>
      </c>
      <c r="M277" t="str">
        <f>IF(L277=0,"",IF(#REF!&gt;0,"CONTRATISTA",IF(#REF!&gt;0,"CLIENTE","SIN_INFO")))</f>
        <v/>
      </c>
      <c r="N277" s="4" t="s">
        <v>96</v>
      </c>
    </row>
    <row r="278" spans="1:14" hidden="1">
      <c r="A278" s="2">
        <v>46193</v>
      </c>
      <c r="B278" t="s">
        <v>40</v>
      </c>
      <c r="C278" t="s">
        <v>41</v>
      </c>
      <c r="D278" t="s">
        <v>22</v>
      </c>
      <c r="E278">
        <v>3</v>
      </c>
      <c r="F278">
        <v>21</v>
      </c>
      <c r="G278">
        <v>1310</v>
      </c>
      <c r="H278">
        <v>0</v>
      </c>
      <c r="I278">
        <v>0</v>
      </c>
      <c r="J278">
        <v>0</v>
      </c>
      <c r="K278">
        <f t="shared" si="4"/>
        <v>24</v>
      </c>
      <c r="L278">
        <v>0</v>
      </c>
      <c r="M278" t="str">
        <f>IF(L278=0,"",IF(#REF!&gt;0,"CONTRATISTA",IF(#REF!&gt;0,"CLIENTE","SIN_INFO")))</f>
        <v/>
      </c>
      <c r="N278" s="4" t="s">
        <v>96</v>
      </c>
    </row>
    <row r="279" spans="1:14" hidden="1">
      <c r="A279" s="2">
        <v>46193</v>
      </c>
      <c r="B279" t="s">
        <v>40</v>
      </c>
      <c r="C279" t="s">
        <v>41</v>
      </c>
      <c r="D279" t="s">
        <v>23</v>
      </c>
      <c r="E279">
        <v>22</v>
      </c>
      <c r="F279">
        <v>2</v>
      </c>
      <c r="G279">
        <v>8025</v>
      </c>
      <c r="H279">
        <v>0</v>
      </c>
      <c r="I279">
        <v>0</v>
      </c>
      <c r="J279">
        <v>0</v>
      </c>
      <c r="K279">
        <f t="shared" si="4"/>
        <v>24</v>
      </c>
      <c r="L279">
        <v>0</v>
      </c>
      <c r="M279" t="str">
        <f>IF(L279=0,"",IF(#REF!&gt;0,"CONTRATISTA",IF(#REF!&gt;0,"CLIENTE","SIN_INFO")))</f>
        <v/>
      </c>
      <c r="N279" s="4" t="s">
        <v>96</v>
      </c>
    </row>
    <row r="280" spans="1:14" hidden="1">
      <c r="A280" s="2">
        <v>46194</v>
      </c>
      <c r="B280" t="s">
        <v>40</v>
      </c>
      <c r="C280" t="s">
        <v>41</v>
      </c>
      <c r="D280" t="s">
        <v>9</v>
      </c>
      <c r="E280">
        <v>24</v>
      </c>
      <c r="F280">
        <v>0</v>
      </c>
      <c r="G280">
        <v>15.378</v>
      </c>
      <c r="H280">
        <v>0</v>
      </c>
      <c r="I280">
        <v>0</v>
      </c>
      <c r="J280">
        <v>0</v>
      </c>
      <c r="K280">
        <f t="shared" si="4"/>
        <v>24</v>
      </c>
      <c r="L280">
        <v>0</v>
      </c>
      <c r="M280" t="str">
        <f>IF(L280=0,"",IF(#REF!&gt;0,"CONTRATISTA",IF(#REF!&gt;0,"CLIENTE","SIN_INFO")))</f>
        <v/>
      </c>
      <c r="N280" s="4"/>
    </row>
    <row r="281" spans="1:14" hidden="1">
      <c r="A281" s="2">
        <v>46194</v>
      </c>
      <c r="B281" t="s">
        <v>40</v>
      </c>
      <c r="C281" t="s">
        <v>41</v>
      </c>
      <c r="D281" t="s">
        <v>10</v>
      </c>
      <c r="E281">
        <v>24</v>
      </c>
      <c r="F281">
        <v>0</v>
      </c>
      <c r="G281">
        <v>13.269</v>
      </c>
      <c r="H281">
        <v>0</v>
      </c>
      <c r="I281">
        <v>0</v>
      </c>
      <c r="J281">
        <v>0</v>
      </c>
      <c r="K281">
        <f t="shared" si="4"/>
        <v>24</v>
      </c>
      <c r="L281">
        <v>0</v>
      </c>
      <c r="M281" t="str">
        <f>IF(L281=0,"",IF(#REF!&gt;0,"CONTRATISTA",IF(#REF!&gt;0,"CLIENTE","SIN_INFO")))</f>
        <v/>
      </c>
      <c r="N281" s="4"/>
    </row>
    <row r="282" spans="1:14" hidden="1">
      <c r="A282" s="2">
        <v>46194</v>
      </c>
      <c r="B282" t="s">
        <v>40</v>
      </c>
      <c r="C282" t="s">
        <v>41</v>
      </c>
      <c r="D282" t="s">
        <v>11</v>
      </c>
      <c r="E282">
        <v>24</v>
      </c>
      <c r="F282">
        <v>0</v>
      </c>
      <c r="G282">
        <v>11.662000000000001</v>
      </c>
      <c r="H282">
        <v>0</v>
      </c>
      <c r="I282">
        <v>0</v>
      </c>
      <c r="J282">
        <v>0</v>
      </c>
      <c r="K282">
        <f t="shared" si="4"/>
        <v>24</v>
      </c>
      <c r="L282">
        <v>0</v>
      </c>
      <c r="M282" t="str">
        <f>IF(L282=0,"",IF(#REF!&gt;0,"CONTRATISTA",IF(#REF!&gt;0,"CLIENTE","SIN_INFO")))</f>
        <v/>
      </c>
      <c r="N282" s="4"/>
    </row>
    <row r="283" spans="1:14" hidden="1">
      <c r="A283" s="2">
        <v>46194</v>
      </c>
      <c r="B283" t="s">
        <v>40</v>
      </c>
      <c r="C283" t="s">
        <v>41</v>
      </c>
      <c r="D283" t="s">
        <v>12</v>
      </c>
      <c r="E283">
        <v>24</v>
      </c>
      <c r="F283">
        <v>0</v>
      </c>
      <c r="G283">
        <v>3.149</v>
      </c>
      <c r="H283">
        <v>0</v>
      </c>
      <c r="I283">
        <v>0</v>
      </c>
      <c r="J283">
        <v>0</v>
      </c>
      <c r="K283">
        <f t="shared" si="4"/>
        <v>24</v>
      </c>
      <c r="L283">
        <v>0</v>
      </c>
      <c r="M283" t="str">
        <f>IF(L283=0,"",IF(#REF!&gt;0,"CONTRATISTA",IF(#REF!&gt;0,"CLIENTE","SIN_INFO")))</f>
        <v/>
      </c>
      <c r="N283" s="4"/>
    </row>
    <row r="284" spans="1:14" hidden="1">
      <c r="A284" s="2">
        <v>46194</v>
      </c>
      <c r="B284" t="s">
        <v>40</v>
      </c>
      <c r="C284" t="s">
        <v>41</v>
      </c>
      <c r="D284" t="s">
        <v>13</v>
      </c>
      <c r="E284">
        <v>24</v>
      </c>
      <c r="F284">
        <v>0</v>
      </c>
      <c r="G284">
        <v>3.181</v>
      </c>
      <c r="H284">
        <v>0</v>
      </c>
      <c r="I284">
        <v>0</v>
      </c>
      <c r="J284">
        <v>0</v>
      </c>
      <c r="K284">
        <f t="shared" si="4"/>
        <v>24</v>
      </c>
      <c r="L284">
        <v>0</v>
      </c>
      <c r="M284" t="str">
        <f>IF(L284=0,"",IF(#REF!&gt;0,"CONTRATISTA",IF(#REF!&gt;0,"CLIENTE","SIN_INFO")))</f>
        <v/>
      </c>
      <c r="N284" s="4"/>
    </row>
    <row r="285" spans="1:14" hidden="1">
      <c r="A285" s="2">
        <v>46194</v>
      </c>
      <c r="B285" t="s">
        <v>40</v>
      </c>
      <c r="C285" t="s">
        <v>41</v>
      </c>
      <c r="D285" t="s">
        <v>14</v>
      </c>
      <c r="E285">
        <v>24</v>
      </c>
      <c r="F285">
        <v>0</v>
      </c>
      <c r="G285">
        <v>1.607</v>
      </c>
      <c r="H285">
        <v>0</v>
      </c>
      <c r="I285">
        <v>0</v>
      </c>
      <c r="J285">
        <v>0</v>
      </c>
      <c r="K285">
        <f t="shared" si="4"/>
        <v>24</v>
      </c>
      <c r="L285">
        <v>0</v>
      </c>
      <c r="M285" t="str">
        <f>IF(L285=0,"",IF(#REF!&gt;0,"CONTRATISTA",IF(#REF!&gt;0,"CLIENTE","SIN_INFO")))</f>
        <v/>
      </c>
      <c r="N285" s="4"/>
    </row>
    <row r="286" spans="1:14" hidden="1">
      <c r="A286" s="2">
        <v>46194</v>
      </c>
      <c r="B286" t="s">
        <v>40</v>
      </c>
      <c r="C286" t="s">
        <v>41</v>
      </c>
      <c r="D286" t="s">
        <v>15</v>
      </c>
      <c r="E286">
        <v>24</v>
      </c>
      <c r="F286">
        <v>0</v>
      </c>
      <c r="G286">
        <v>489</v>
      </c>
      <c r="H286">
        <v>0</v>
      </c>
      <c r="I286">
        <v>0</v>
      </c>
      <c r="J286">
        <v>0</v>
      </c>
      <c r="K286">
        <f t="shared" si="4"/>
        <v>24</v>
      </c>
      <c r="L286">
        <v>0</v>
      </c>
      <c r="M286" t="str">
        <f>IF(L286=0,"",IF(#REF!&gt;0,"CONTRATISTA",IF(#REF!&gt;0,"CLIENTE","SIN_INFO")))</f>
        <v/>
      </c>
      <c r="N286" s="4"/>
    </row>
    <row r="287" spans="1:14" hidden="1">
      <c r="A287" s="2">
        <v>46194</v>
      </c>
      <c r="B287" t="s">
        <v>40</v>
      </c>
      <c r="C287" t="s">
        <v>41</v>
      </c>
      <c r="D287" t="s">
        <v>16</v>
      </c>
      <c r="E287">
        <v>0</v>
      </c>
      <c r="F287">
        <v>24</v>
      </c>
      <c r="G287">
        <v>0</v>
      </c>
      <c r="H287">
        <v>0</v>
      </c>
      <c r="I287">
        <v>0</v>
      </c>
      <c r="J287">
        <v>0</v>
      </c>
      <c r="K287">
        <f t="shared" si="4"/>
        <v>24</v>
      </c>
      <c r="L287">
        <v>0</v>
      </c>
      <c r="M287" t="str">
        <f>IF(L287=0,"",IF(#REF!&gt;0,"CONTRATISTA",IF(#REF!&gt;0,"CLIENTE","SIN_INFO")))</f>
        <v/>
      </c>
      <c r="N287" s="4"/>
    </row>
    <row r="288" spans="1:14" hidden="1">
      <c r="A288" s="2">
        <v>46194</v>
      </c>
      <c r="B288" t="s">
        <v>40</v>
      </c>
      <c r="C288" t="s">
        <v>41</v>
      </c>
      <c r="D288" t="s">
        <v>17</v>
      </c>
      <c r="E288">
        <v>0</v>
      </c>
      <c r="F288">
        <v>24</v>
      </c>
      <c r="G288">
        <v>0</v>
      </c>
      <c r="H288">
        <v>0</v>
      </c>
      <c r="I288">
        <v>0</v>
      </c>
      <c r="J288">
        <v>0</v>
      </c>
      <c r="K288">
        <f t="shared" si="4"/>
        <v>24</v>
      </c>
      <c r="L288">
        <v>0</v>
      </c>
      <c r="M288" t="str">
        <f>IF(L288=0,"",IF(#REF!&gt;0,"CONTRATISTA",IF(#REF!&gt;0,"CLIENTE","SIN_INFO")))</f>
        <v/>
      </c>
      <c r="N288" s="4"/>
    </row>
    <row r="289" spans="1:14" hidden="1">
      <c r="A289" s="2">
        <v>46194</v>
      </c>
      <c r="B289" t="s">
        <v>40</v>
      </c>
      <c r="C289" t="s">
        <v>41</v>
      </c>
      <c r="D289" t="s">
        <v>18</v>
      </c>
      <c r="E289">
        <v>0</v>
      </c>
      <c r="F289">
        <v>24</v>
      </c>
      <c r="G289">
        <v>0</v>
      </c>
      <c r="H289">
        <v>0</v>
      </c>
      <c r="I289">
        <v>0</v>
      </c>
      <c r="J289">
        <v>0</v>
      </c>
      <c r="K289">
        <f t="shared" si="4"/>
        <v>24</v>
      </c>
      <c r="L289">
        <v>0</v>
      </c>
      <c r="M289" t="str">
        <f>IF(L289=0,"",IF(#REF!&gt;0,"CONTRATISTA",IF(#REF!&gt;0,"CLIENTE","SIN_INFO")))</f>
        <v/>
      </c>
      <c r="N289" s="4"/>
    </row>
    <row r="290" spans="1:14" hidden="1">
      <c r="A290" s="2">
        <v>46194</v>
      </c>
      <c r="B290" t="s">
        <v>40</v>
      </c>
      <c r="C290" t="s">
        <v>42</v>
      </c>
      <c r="D290" t="s">
        <v>19</v>
      </c>
      <c r="E290">
        <v>24</v>
      </c>
      <c r="F290">
        <v>0</v>
      </c>
      <c r="G290">
        <v>9227</v>
      </c>
      <c r="H290">
        <v>0</v>
      </c>
      <c r="I290">
        <v>0</v>
      </c>
      <c r="J290">
        <v>0</v>
      </c>
      <c r="K290">
        <f t="shared" si="4"/>
        <v>24</v>
      </c>
      <c r="L290">
        <v>0</v>
      </c>
      <c r="M290" t="str">
        <f>IF(L290=0,"",IF(#REF!&gt;0,"CONTRATISTA",IF(#REF!&gt;0,"CLIENTE","SIN_INFO")))</f>
        <v/>
      </c>
      <c r="N290" s="4"/>
    </row>
    <row r="291" spans="1:14" hidden="1">
      <c r="A291" s="2">
        <v>46194</v>
      </c>
      <c r="B291" t="s">
        <v>40</v>
      </c>
      <c r="C291" t="s">
        <v>42</v>
      </c>
      <c r="D291" t="s">
        <v>20</v>
      </c>
      <c r="E291">
        <v>24</v>
      </c>
      <c r="F291">
        <v>0</v>
      </c>
      <c r="G291">
        <v>9820</v>
      </c>
      <c r="H291">
        <v>0</v>
      </c>
      <c r="I291">
        <v>0</v>
      </c>
      <c r="J291">
        <v>0</v>
      </c>
      <c r="K291">
        <f t="shared" si="4"/>
        <v>24</v>
      </c>
      <c r="L291">
        <v>0</v>
      </c>
      <c r="M291" t="str">
        <f>IF(L291=0,"",IF(#REF!&gt;0,"CONTRATISTA",IF(#REF!&gt;0,"CLIENTE","SIN_INFO")))</f>
        <v/>
      </c>
      <c r="N291" s="4"/>
    </row>
    <row r="292" spans="1:14" hidden="1">
      <c r="A292" s="2">
        <v>46194</v>
      </c>
      <c r="B292" t="s">
        <v>40</v>
      </c>
      <c r="C292" t="s">
        <v>41</v>
      </c>
      <c r="D292" t="s">
        <v>21</v>
      </c>
      <c r="E292">
        <v>22</v>
      </c>
      <c r="F292">
        <v>2</v>
      </c>
      <c r="G292">
        <v>8339</v>
      </c>
      <c r="H292">
        <v>0</v>
      </c>
      <c r="I292">
        <v>0</v>
      </c>
      <c r="J292">
        <v>0</v>
      </c>
      <c r="K292">
        <f t="shared" si="4"/>
        <v>24</v>
      </c>
      <c r="L292">
        <v>0</v>
      </c>
      <c r="M292" t="str">
        <f>IF(L292=0,"",IF(#REF!&gt;0,"CONTRATISTA",IF(#REF!&gt;0,"CLIENTE","SIN_INFO")))</f>
        <v/>
      </c>
      <c r="N292" s="4" t="s">
        <v>97</v>
      </c>
    </row>
    <row r="293" spans="1:14" hidden="1">
      <c r="A293" s="2">
        <v>46194</v>
      </c>
      <c r="B293" t="s">
        <v>40</v>
      </c>
      <c r="C293" t="s">
        <v>41</v>
      </c>
      <c r="D293" t="s">
        <v>22</v>
      </c>
      <c r="E293">
        <v>2</v>
      </c>
      <c r="F293">
        <v>22</v>
      </c>
      <c r="G293">
        <v>730</v>
      </c>
      <c r="H293">
        <v>0</v>
      </c>
      <c r="I293">
        <v>0</v>
      </c>
      <c r="J293">
        <v>0</v>
      </c>
      <c r="K293">
        <f t="shared" si="4"/>
        <v>24</v>
      </c>
      <c r="L293">
        <v>0</v>
      </c>
      <c r="M293" t="str">
        <f>IF(L293=0,"",IF(#REF!&gt;0,"CONTRATISTA",IF(#REF!&gt;0,"CLIENTE","SIN_INFO")))</f>
        <v/>
      </c>
      <c r="N293" s="4" t="s">
        <v>98</v>
      </c>
    </row>
    <row r="294" spans="1:14" hidden="1">
      <c r="A294" s="2">
        <v>46194</v>
      </c>
      <c r="B294" t="s">
        <v>40</v>
      </c>
      <c r="C294" t="s">
        <v>41</v>
      </c>
      <c r="D294" t="s">
        <v>23</v>
      </c>
      <c r="E294">
        <v>16</v>
      </c>
      <c r="F294">
        <v>8</v>
      </c>
      <c r="G294">
        <v>6294</v>
      </c>
      <c r="H294">
        <v>0</v>
      </c>
      <c r="I294">
        <v>0</v>
      </c>
      <c r="J294">
        <v>0</v>
      </c>
      <c r="K294">
        <f t="shared" si="4"/>
        <v>24</v>
      </c>
      <c r="L294">
        <v>0</v>
      </c>
      <c r="M294" t="str">
        <f>IF(L294=0,"",IF(#REF!&gt;0,"CONTRATISTA",IF(#REF!&gt;0,"CLIENTE","SIN_INFO")))</f>
        <v/>
      </c>
      <c r="N294" s="4" t="s">
        <v>97</v>
      </c>
    </row>
    <row r="295" spans="1:14" hidden="1">
      <c r="A295" s="2">
        <v>46195</v>
      </c>
      <c r="B295" t="s">
        <v>40</v>
      </c>
      <c r="C295" t="s">
        <v>41</v>
      </c>
      <c r="D295" t="s">
        <v>9</v>
      </c>
      <c r="E295">
        <v>24</v>
      </c>
      <c r="F295">
        <v>0</v>
      </c>
      <c r="G295">
        <v>15661</v>
      </c>
      <c r="H295">
        <v>0</v>
      </c>
      <c r="I295">
        <v>0</v>
      </c>
      <c r="J295">
        <v>0</v>
      </c>
      <c r="K295">
        <f t="shared" si="4"/>
        <v>24</v>
      </c>
      <c r="L295">
        <v>0</v>
      </c>
      <c r="M295" t="str">
        <f>IF(L295=0,"",IF(#REF!&gt;0,"CONTRATISTA",IF(#REF!&gt;0,"CLIENTE","SIN_INFO")))</f>
        <v/>
      </c>
      <c r="N295" s="4"/>
    </row>
    <row r="296" spans="1:14" hidden="1">
      <c r="A296" s="2">
        <v>46195</v>
      </c>
      <c r="B296" t="s">
        <v>40</v>
      </c>
      <c r="C296" t="s">
        <v>41</v>
      </c>
      <c r="D296" t="s">
        <v>10</v>
      </c>
      <c r="E296">
        <v>24</v>
      </c>
      <c r="F296">
        <v>0</v>
      </c>
      <c r="G296">
        <v>15401</v>
      </c>
      <c r="H296">
        <v>0</v>
      </c>
      <c r="I296">
        <v>0</v>
      </c>
      <c r="J296">
        <v>0</v>
      </c>
      <c r="K296">
        <f t="shared" si="4"/>
        <v>24</v>
      </c>
      <c r="L296">
        <v>0</v>
      </c>
      <c r="M296" t="str">
        <f>IF(L296=0,"",IF(#REF!&gt;0,"CONTRATISTA",IF(#REF!&gt;0,"CLIENTE","SIN_INFO")))</f>
        <v/>
      </c>
      <c r="N296" s="4"/>
    </row>
    <row r="297" spans="1:14" hidden="1">
      <c r="A297" s="2">
        <v>46195</v>
      </c>
      <c r="B297" t="s">
        <v>40</v>
      </c>
      <c r="C297" t="s">
        <v>41</v>
      </c>
      <c r="D297" t="s">
        <v>11</v>
      </c>
      <c r="E297">
        <v>24</v>
      </c>
      <c r="F297">
        <v>0</v>
      </c>
      <c r="G297">
        <v>15641</v>
      </c>
      <c r="H297">
        <v>0</v>
      </c>
      <c r="I297">
        <v>0</v>
      </c>
      <c r="J297">
        <v>0</v>
      </c>
      <c r="K297">
        <f t="shared" si="4"/>
        <v>24</v>
      </c>
      <c r="L297">
        <v>0</v>
      </c>
      <c r="M297" t="str">
        <f>IF(L297=0,"",IF(#REF!&gt;0,"CONTRATISTA",IF(#REF!&gt;0,"CLIENTE","SIN_INFO")))</f>
        <v/>
      </c>
      <c r="N297" s="4"/>
    </row>
    <row r="298" spans="1:14" hidden="1">
      <c r="A298" s="2">
        <v>46195</v>
      </c>
      <c r="B298" t="s">
        <v>40</v>
      </c>
      <c r="C298" t="s">
        <v>41</v>
      </c>
      <c r="D298" t="s">
        <v>12</v>
      </c>
      <c r="E298">
        <v>24</v>
      </c>
      <c r="F298">
        <v>0</v>
      </c>
      <c r="G298">
        <v>19414</v>
      </c>
      <c r="H298">
        <v>0</v>
      </c>
      <c r="I298">
        <v>0</v>
      </c>
      <c r="J298">
        <v>0</v>
      </c>
      <c r="K298">
        <f t="shared" si="4"/>
        <v>24</v>
      </c>
      <c r="L298">
        <v>0</v>
      </c>
      <c r="M298" t="str">
        <f>IF(L298=0,"",IF(#REF!&gt;0,"CONTRATISTA",IF(#REF!&gt;0,"CLIENTE","SIN_INFO")))</f>
        <v/>
      </c>
      <c r="N298" s="4"/>
    </row>
    <row r="299" spans="1:14" hidden="1">
      <c r="A299" s="2">
        <v>46195</v>
      </c>
      <c r="B299" t="s">
        <v>40</v>
      </c>
      <c r="C299" t="s">
        <v>41</v>
      </c>
      <c r="D299" t="s">
        <v>13</v>
      </c>
      <c r="E299">
        <v>17</v>
      </c>
      <c r="F299">
        <v>0</v>
      </c>
      <c r="G299">
        <v>14024</v>
      </c>
      <c r="H299">
        <v>7</v>
      </c>
      <c r="I299">
        <v>0</v>
      </c>
      <c r="J299">
        <v>0</v>
      </c>
      <c r="K299">
        <f t="shared" si="4"/>
        <v>24</v>
      </c>
      <c r="L299">
        <v>0</v>
      </c>
      <c r="M299" t="str">
        <f>IF(L299=0,"",IF(#REF!&gt;0,"CONTRATISTA",IF(#REF!&gt;0,"CLIENTE","SIN_INFO")))</f>
        <v/>
      </c>
      <c r="N299" s="4" t="s">
        <v>99</v>
      </c>
    </row>
    <row r="300" spans="1:14" hidden="1">
      <c r="A300" s="2">
        <v>46195</v>
      </c>
      <c r="B300" t="s">
        <v>40</v>
      </c>
      <c r="C300" t="s">
        <v>41</v>
      </c>
      <c r="D300" t="s">
        <v>14</v>
      </c>
      <c r="E300">
        <v>24</v>
      </c>
      <c r="F300">
        <v>0</v>
      </c>
      <c r="G300">
        <v>20538</v>
      </c>
      <c r="H300">
        <v>0</v>
      </c>
      <c r="I300">
        <v>0</v>
      </c>
      <c r="J300">
        <v>0</v>
      </c>
      <c r="K300">
        <f t="shared" si="4"/>
        <v>24</v>
      </c>
      <c r="L300">
        <v>0</v>
      </c>
      <c r="M300" t="str">
        <f>IF(L300=0,"",IF(#REF!&gt;0,"CONTRATISTA",IF(#REF!&gt;0,"CLIENTE","SIN_INFO")))</f>
        <v/>
      </c>
      <c r="N300" s="4"/>
    </row>
    <row r="301" spans="1:14" hidden="1">
      <c r="A301" s="2">
        <v>46195</v>
      </c>
      <c r="B301" t="s">
        <v>40</v>
      </c>
      <c r="C301" t="s">
        <v>41</v>
      </c>
      <c r="D301" t="s">
        <v>15</v>
      </c>
      <c r="E301">
        <v>24</v>
      </c>
      <c r="F301">
        <v>0</v>
      </c>
      <c r="G301">
        <v>15011</v>
      </c>
      <c r="H301">
        <v>0</v>
      </c>
      <c r="I301">
        <v>0</v>
      </c>
      <c r="J301">
        <v>0</v>
      </c>
      <c r="K301">
        <f t="shared" si="4"/>
        <v>24</v>
      </c>
      <c r="L301">
        <v>0</v>
      </c>
      <c r="M301" t="str">
        <f>IF(L301=0,"",IF(#REF!&gt;0,"CONTRATISTA",IF(#REF!&gt;0,"CLIENTE","SIN_INFO")))</f>
        <v/>
      </c>
      <c r="N301" s="4"/>
    </row>
    <row r="302" spans="1:14" hidden="1">
      <c r="A302" s="2">
        <v>46195</v>
      </c>
      <c r="B302" t="s">
        <v>40</v>
      </c>
      <c r="C302" t="s">
        <v>41</v>
      </c>
      <c r="D302" t="s">
        <v>16</v>
      </c>
      <c r="E302">
        <v>0</v>
      </c>
      <c r="F302">
        <v>24</v>
      </c>
      <c r="G302">
        <v>280</v>
      </c>
      <c r="H302">
        <v>0</v>
      </c>
      <c r="I302">
        <v>0</v>
      </c>
      <c r="J302">
        <v>0</v>
      </c>
      <c r="K302">
        <f t="shared" si="4"/>
        <v>24</v>
      </c>
      <c r="L302">
        <v>0</v>
      </c>
      <c r="M302" t="str">
        <f>IF(L302=0,"",IF(#REF!&gt;0,"CONTRATISTA",IF(#REF!&gt;0,"CLIENTE","SIN_INFO")))</f>
        <v/>
      </c>
      <c r="N302" s="4"/>
    </row>
    <row r="303" spans="1:14" hidden="1">
      <c r="A303" s="2">
        <v>46195</v>
      </c>
      <c r="B303" t="s">
        <v>40</v>
      </c>
      <c r="C303" t="s">
        <v>41</v>
      </c>
      <c r="D303" t="s">
        <v>17</v>
      </c>
      <c r="E303">
        <v>1</v>
      </c>
      <c r="F303">
        <v>23</v>
      </c>
      <c r="G303">
        <v>745</v>
      </c>
      <c r="H303">
        <v>0</v>
      </c>
      <c r="I303">
        <v>0</v>
      </c>
      <c r="J303">
        <v>0</v>
      </c>
      <c r="K303">
        <f t="shared" si="4"/>
        <v>24</v>
      </c>
      <c r="L303">
        <v>0</v>
      </c>
      <c r="M303" t="str">
        <f>IF(L303=0,"",IF(#REF!&gt;0,"CONTRATISTA",IF(#REF!&gt;0,"CLIENTE","SIN_INFO")))</f>
        <v/>
      </c>
      <c r="N303" s="4" t="s">
        <v>100</v>
      </c>
    </row>
    <row r="304" spans="1:14" hidden="1">
      <c r="A304" s="2">
        <v>46195</v>
      </c>
      <c r="B304" t="s">
        <v>40</v>
      </c>
      <c r="C304" t="s">
        <v>41</v>
      </c>
      <c r="D304" t="s">
        <v>18</v>
      </c>
      <c r="E304">
        <v>1</v>
      </c>
      <c r="F304">
        <v>23</v>
      </c>
      <c r="G304">
        <v>663</v>
      </c>
      <c r="H304">
        <v>0</v>
      </c>
      <c r="I304">
        <v>0</v>
      </c>
      <c r="J304">
        <v>0</v>
      </c>
      <c r="K304">
        <f t="shared" si="4"/>
        <v>24</v>
      </c>
      <c r="L304">
        <v>0</v>
      </c>
      <c r="M304" t="str">
        <f>IF(L304=0,"",IF(#REF!&gt;0,"CONTRATISTA",IF(#REF!&gt;0,"CLIENTE","SIN_INFO")))</f>
        <v/>
      </c>
      <c r="N304" s="4" t="s">
        <v>100</v>
      </c>
    </row>
    <row r="305" spans="1:14" hidden="1">
      <c r="A305" s="2">
        <v>46195</v>
      </c>
      <c r="B305" t="s">
        <v>40</v>
      </c>
      <c r="C305" t="s">
        <v>42</v>
      </c>
      <c r="D305" t="s">
        <v>19</v>
      </c>
      <c r="E305">
        <v>24</v>
      </c>
      <c r="F305">
        <v>0</v>
      </c>
      <c r="G305">
        <v>9606</v>
      </c>
      <c r="H305">
        <v>0</v>
      </c>
      <c r="I305">
        <v>0</v>
      </c>
      <c r="J305">
        <v>0</v>
      </c>
      <c r="K305">
        <f t="shared" si="4"/>
        <v>24</v>
      </c>
      <c r="L305">
        <v>0</v>
      </c>
      <c r="M305" t="str">
        <f>IF(L305=0,"",IF(#REF!&gt;0,"CONTRATISTA",IF(#REF!&gt;0,"CLIENTE","SIN_INFO")))</f>
        <v/>
      </c>
      <c r="N305" s="4"/>
    </row>
    <row r="306" spans="1:14" hidden="1">
      <c r="A306" s="2">
        <v>46195</v>
      </c>
      <c r="B306" t="s">
        <v>40</v>
      </c>
      <c r="C306" t="s">
        <v>42</v>
      </c>
      <c r="D306" t="s">
        <v>20</v>
      </c>
      <c r="E306">
        <v>24</v>
      </c>
      <c r="F306">
        <v>0</v>
      </c>
      <c r="G306">
        <v>9603</v>
      </c>
      <c r="H306">
        <v>0</v>
      </c>
      <c r="I306">
        <v>0</v>
      </c>
      <c r="J306">
        <v>0</v>
      </c>
      <c r="K306">
        <f t="shared" si="4"/>
        <v>24</v>
      </c>
      <c r="L306">
        <v>0</v>
      </c>
      <c r="M306" t="str">
        <f>IF(L306=0,"",IF(#REF!&gt;0,"CONTRATISTA",IF(#REF!&gt;0,"CLIENTE","SIN_INFO")))</f>
        <v/>
      </c>
      <c r="N306" s="4"/>
    </row>
    <row r="307" spans="1:14" hidden="1">
      <c r="A307" s="2">
        <v>46195</v>
      </c>
      <c r="B307" t="s">
        <v>40</v>
      </c>
      <c r="C307" t="s">
        <v>41</v>
      </c>
      <c r="D307" t="s">
        <v>21</v>
      </c>
      <c r="E307">
        <v>19</v>
      </c>
      <c r="F307">
        <v>5</v>
      </c>
      <c r="G307">
        <v>6894</v>
      </c>
      <c r="H307">
        <v>0</v>
      </c>
      <c r="I307">
        <v>0</v>
      </c>
      <c r="J307">
        <v>0</v>
      </c>
      <c r="K307">
        <f t="shared" si="4"/>
        <v>24</v>
      </c>
      <c r="L307">
        <v>0</v>
      </c>
      <c r="M307" t="str">
        <f>IF(L307=0,"",IF(#REF!&gt;0,"CONTRATISTA",IF(#REF!&gt;0,"CLIENTE","SIN_INFO")))</f>
        <v/>
      </c>
      <c r="N307" s="4" t="s">
        <v>101</v>
      </c>
    </row>
    <row r="308" spans="1:14" hidden="1">
      <c r="A308" s="2">
        <v>46195</v>
      </c>
      <c r="B308" t="s">
        <v>40</v>
      </c>
      <c r="C308" t="s">
        <v>41</v>
      </c>
      <c r="D308" t="s">
        <v>22</v>
      </c>
      <c r="E308">
        <v>6</v>
      </c>
      <c r="F308">
        <v>18</v>
      </c>
      <c r="G308">
        <v>1805</v>
      </c>
      <c r="H308">
        <v>0</v>
      </c>
      <c r="I308">
        <v>0</v>
      </c>
      <c r="J308">
        <v>0</v>
      </c>
      <c r="K308">
        <f t="shared" si="4"/>
        <v>24</v>
      </c>
      <c r="L308">
        <v>0</v>
      </c>
      <c r="M308" t="str">
        <f>IF(L308=0,"",IF(#REF!&gt;0,"CONTRATISTA",IF(#REF!&gt;0,"CLIENTE","SIN_INFO")))</f>
        <v/>
      </c>
      <c r="N308" s="4" t="s">
        <v>101</v>
      </c>
    </row>
    <row r="309" spans="1:14" hidden="1">
      <c r="A309" s="2">
        <v>46195</v>
      </c>
      <c r="B309" t="s">
        <v>40</v>
      </c>
      <c r="C309" t="s">
        <v>41</v>
      </c>
      <c r="D309" t="s">
        <v>23</v>
      </c>
      <c r="E309">
        <v>17</v>
      </c>
      <c r="F309">
        <v>7</v>
      </c>
      <c r="G309">
        <v>6159</v>
      </c>
      <c r="H309">
        <v>0</v>
      </c>
      <c r="I309">
        <v>0</v>
      </c>
      <c r="J309">
        <v>0</v>
      </c>
      <c r="K309">
        <f t="shared" si="4"/>
        <v>24</v>
      </c>
      <c r="L309">
        <v>0</v>
      </c>
      <c r="M309" t="str">
        <f>IF(L309=0,"",IF(#REF!&gt;0,"CONTRATISTA",IF(#REF!&gt;0,"CLIENTE","SIN_INFO")))</f>
        <v/>
      </c>
      <c r="N309" s="4"/>
    </row>
    <row r="310" spans="1:14" hidden="1">
      <c r="A310" s="2">
        <v>46196</v>
      </c>
      <c r="B310" t="s">
        <v>40</v>
      </c>
      <c r="C310" t="s">
        <v>41</v>
      </c>
      <c r="D310" t="s">
        <v>9</v>
      </c>
      <c r="E310">
        <v>6</v>
      </c>
      <c r="F310">
        <v>18</v>
      </c>
      <c r="G310">
        <v>3356</v>
      </c>
      <c r="H310">
        <v>0</v>
      </c>
      <c r="I310">
        <v>0</v>
      </c>
      <c r="J310">
        <v>0</v>
      </c>
      <c r="K310">
        <f t="shared" si="4"/>
        <v>24</v>
      </c>
      <c r="L310">
        <v>0</v>
      </c>
      <c r="M310" t="str">
        <f>IF(L310=0,"",IF(#REF!&gt;0,"CONTRATISTA",IF(#REF!&gt;0,"CLIENTE","SIN_INFO")))</f>
        <v/>
      </c>
      <c r="N310" s="4" t="s">
        <v>102</v>
      </c>
    </row>
    <row r="311" spans="1:14" hidden="1">
      <c r="A311" s="2">
        <v>46196</v>
      </c>
      <c r="B311" t="s">
        <v>40</v>
      </c>
      <c r="C311" t="s">
        <v>41</v>
      </c>
      <c r="D311" t="s">
        <v>10</v>
      </c>
      <c r="E311">
        <v>9</v>
      </c>
      <c r="F311">
        <v>15</v>
      </c>
      <c r="G311">
        <v>4347</v>
      </c>
      <c r="H311">
        <v>0</v>
      </c>
      <c r="I311">
        <v>0</v>
      </c>
      <c r="J311">
        <v>0</v>
      </c>
      <c r="K311">
        <f t="shared" si="4"/>
        <v>24</v>
      </c>
      <c r="L311">
        <v>0</v>
      </c>
      <c r="M311" t="str">
        <f>IF(L311=0,"",IF(#REF!&gt;0,"CONTRATISTA",IF(#REF!&gt;0,"CLIENTE","SIN_INFO")))</f>
        <v/>
      </c>
      <c r="N311" s="4"/>
    </row>
    <row r="312" spans="1:14" hidden="1">
      <c r="A312" s="2">
        <v>46196</v>
      </c>
      <c r="B312" t="s">
        <v>40</v>
      </c>
      <c r="C312" t="s">
        <v>41</v>
      </c>
      <c r="D312" t="s">
        <v>11</v>
      </c>
      <c r="E312">
        <v>6</v>
      </c>
      <c r="F312">
        <v>18</v>
      </c>
      <c r="G312">
        <v>3732</v>
      </c>
      <c r="H312">
        <v>0</v>
      </c>
      <c r="I312">
        <v>0</v>
      </c>
      <c r="J312">
        <v>0</v>
      </c>
      <c r="K312">
        <f t="shared" si="4"/>
        <v>24</v>
      </c>
      <c r="L312">
        <v>0</v>
      </c>
      <c r="M312" t="str">
        <f>IF(L312=0,"",IF(#REF!&gt;0,"CONTRATISTA",IF(#REF!&gt;0,"CLIENTE","SIN_INFO")))</f>
        <v/>
      </c>
      <c r="N312" s="4"/>
    </row>
    <row r="313" spans="1:14">
      <c r="A313" s="2">
        <v>46196</v>
      </c>
      <c r="B313" t="s">
        <v>40</v>
      </c>
      <c r="C313" t="s">
        <v>41</v>
      </c>
      <c r="D313" t="s">
        <v>12</v>
      </c>
      <c r="E313">
        <v>23</v>
      </c>
      <c r="F313">
        <v>0</v>
      </c>
      <c r="G313">
        <v>17284</v>
      </c>
      <c r="H313">
        <v>0</v>
      </c>
      <c r="I313">
        <v>0</v>
      </c>
      <c r="J313">
        <v>1</v>
      </c>
      <c r="K313">
        <f t="shared" si="4"/>
        <v>24</v>
      </c>
      <c r="L313">
        <v>1</v>
      </c>
      <c r="M313" t="e">
        <f>IF(L313=0,"",IF(#REF!&gt;0,"CONTRATISTA",IF(#REF!&gt;0,"CLIENTE","SIN_INFO")))</f>
        <v>#REF!</v>
      </c>
      <c r="N313" s="4" t="s">
        <v>103</v>
      </c>
    </row>
    <row r="314" spans="1:14">
      <c r="A314" s="2">
        <v>46196</v>
      </c>
      <c r="B314" t="s">
        <v>40</v>
      </c>
      <c r="C314" t="s">
        <v>41</v>
      </c>
      <c r="D314" t="s">
        <v>13</v>
      </c>
      <c r="E314">
        <v>22</v>
      </c>
      <c r="F314">
        <v>0</v>
      </c>
      <c r="G314">
        <v>17286</v>
      </c>
      <c r="H314">
        <v>0</v>
      </c>
      <c r="I314">
        <v>0</v>
      </c>
      <c r="J314">
        <v>2</v>
      </c>
      <c r="K314">
        <f t="shared" si="4"/>
        <v>24</v>
      </c>
      <c r="L314">
        <v>1</v>
      </c>
      <c r="M314" t="e">
        <f>IF(L314=0,"",IF(#REF!&gt;0,"CONTRATISTA",IF(#REF!&gt;0,"CLIENTE","SIN_INFO")))</f>
        <v>#REF!</v>
      </c>
      <c r="N314" s="4" t="s">
        <v>103</v>
      </c>
    </row>
    <row r="315" spans="1:14" hidden="1">
      <c r="A315" s="2">
        <v>46196</v>
      </c>
      <c r="B315" t="s">
        <v>40</v>
      </c>
      <c r="C315" t="s">
        <v>41</v>
      </c>
      <c r="D315" t="s">
        <v>14</v>
      </c>
      <c r="E315">
        <v>24</v>
      </c>
      <c r="F315">
        <v>0</v>
      </c>
      <c r="G315">
        <v>19537</v>
      </c>
      <c r="H315">
        <v>0</v>
      </c>
      <c r="I315">
        <v>0</v>
      </c>
      <c r="J315">
        <v>0</v>
      </c>
      <c r="K315">
        <f t="shared" si="4"/>
        <v>24</v>
      </c>
      <c r="L315">
        <v>0</v>
      </c>
      <c r="M315" t="str">
        <f>IF(L315=0,"",IF(#REF!&gt;0,"CONTRATISTA",IF(#REF!&gt;0,"CLIENTE","SIN_INFO")))</f>
        <v/>
      </c>
      <c r="N315" s="4"/>
    </row>
    <row r="316" spans="1:14" hidden="1">
      <c r="A316" s="2">
        <v>46196</v>
      </c>
      <c r="B316" t="s">
        <v>40</v>
      </c>
      <c r="C316" t="s">
        <v>41</v>
      </c>
      <c r="D316" t="s">
        <v>15</v>
      </c>
      <c r="E316">
        <v>6</v>
      </c>
      <c r="F316">
        <v>18</v>
      </c>
      <c r="G316">
        <v>3239</v>
      </c>
      <c r="H316">
        <v>0</v>
      </c>
      <c r="I316">
        <v>0</v>
      </c>
      <c r="J316">
        <v>0</v>
      </c>
      <c r="K316">
        <f t="shared" si="4"/>
        <v>24</v>
      </c>
      <c r="L316">
        <v>0</v>
      </c>
      <c r="M316" t="str">
        <f>IF(L316=0,"",IF(#REF!&gt;0,"CONTRATISTA",IF(#REF!&gt;0,"CLIENTE","SIN_INFO")))</f>
        <v/>
      </c>
      <c r="N316" s="4" t="s">
        <v>102</v>
      </c>
    </row>
    <row r="317" spans="1:14" hidden="1">
      <c r="A317" s="2">
        <v>46196</v>
      </c>
      <c r="B317" t="s">
        <v>40</v>
      </c>
      <c r="C317" t="s">
        <v>41</v>
      </c>
      <c r="D317" t="s">
        <v>16</v>
      </c>
      <c r="E317">
        <v>0</v>
      </c>
      <c r="F317">
        <v>24</v>
      </c>
      <c r="G317">
        <v>0</v>
      </c>
      <c r="H317">
        <v>0</v>
      </c>
      <c r="I317">
        <v>0</v>
      </c>
      <c r="J317">
        <v>0</v>
      </c>
      <c r="K317">
        <f t="shared" si="4"/>
        <v>24</v>
      </c>
      <c r="L317">
        <v>0</v>
      </c>
      <c r="M317" t="str">
        <f>IF(L317=0,"",IF(#REF!&gt;0,"CONTRATISTA",IF(#REF!&gt;0,"CLIENTE","SIN_INFO")))</f>
        <v/>
      </c>
      <c r="N317" s="4"/>
    </row>
    <row r="318" spans="1:14" hidden="1">
      <c r="A318" s="2">
        <v>46196</v>
      </c>
      <c r="B318" t="s">
        <v>40</v>
      </c>
      <c r="C318" t="s">
        <v>41</v>
      </c>
      <c r="D318" t="s">
        <v>17</v>
      </c>
      <c r="E318">
        <v>6</v>
      </c>
      <c r="F318">
        <v>18</v>
      </c>
      <c r="G318">
        <v>4014</v>
      </c>
      <c r="H318">
        <v>0</v>
      </c>
      <c r="I318">
        <v>0</v>
      </c>
      <c r="J318">
        <v>0</v>
      </c>
      <c r="K318">
        <f t="shared" si="4"/>
        <v>24</v>
      </c>
      <c r="L318">
        <v>0</v>
      </c>
      <c r="M318" t="str">
        <f>IF(L318=0,"",IF(#REF!&gt;0,"CONTRATISTA",IF(#REF!&gt;0,"CLIENTE","SIN_INFO")))</f>
        <v/>
      </c>
      <c r="N318" s="4"/>
    </row>
    <row r="319" spans="1:14" hidden="1">
      <c r="A319" s="2">
        <v>46196</v>
      </c>
      <c r="B319" t="s">
        <v>40</v>
      </c>
      <c r="C319" t="s">
        <v>41</v>
      </c>
      <c r="D319" t="s">
        <v>18</v>
      </c>
      <c r="E319">
        <v>12</v>
      </c>
      <c r="F319">
        <v>12</v>
      </c>
      <c r="G319">
        <v>8208</v>
      </c>
      <c r="H319">
        <v>0</v>
      </c>
      <c r="I319">
        <v>0</v>
      </c>
      <c r="J319">
        <v>0</v>
      </c>
      <c r="K319">
        <f t="shared" si="4"/>
        <v>24</v>
      </c>
      <c r="L319">
        <v>0</v>
      </c>
      <c r="M319" t="str">
        <f>IF(L319=0,"",IF(#REF!&gt;0,"CONTRATISTA",IF(#REF!&gt;0,"CLIENTE","SIN_INFO")))</f>
        <v/>
      </c>
      <c r="N319" s="4"/>
    </row>
    <row r="320" spans="1:14" hidden="1">
      <c r="A320" s="2">
        <v>46196</v>
      </c>
      <c r="B320" t="s">
        <v>40</v>
      </c>
      <c r="C320" t="s">
        <v>42</v>
      </c>
      <c r="D320" t="s">
        <v>19</v>
      </c>
      <c r="E320">
        <v>24</v>
      </c>
      <c r="F320">
        <v>0</v>
      </c>
      <c r="G320">
        <v>9488</v>
      </c>
      <c r="H320">
        <v>0</v>
      </c>
      <c r="I320">
        <v>0</v>
      </c>
      <c r="J320">
        <v>0</v>
      </c>
      <c r="K320">
        <f t="shared" si="4"/>
        <v>24</v>
      </c>
      <c r="L320">
        <v>0</v>
      </c>
      <c r="M320" t="str">
        <f>IF(L320=0,"",IF(#REF!&gt;0,"CONTRATISTA",IF(#REF!&gt;0,"CLIENTE","SIN_INFO")))</f>
        <v/>
      </c>
      <c r="N320" s="4"/>
    </row>
    <row r="321" spans="1:14" hidden="1">
      <c r="A321" s="2">
        <v>46196</v>
      </c>
      <c r="B321" t="s">
        <v>40</v>
      </c>
      <c r="C321" t="s">
        <v>42</v>
      </c>
      <c r="D321" t="s">
        <v>20</v>
      </c>
      <c r="E321">
        <v>20</v>
      </c>
      <c r="F321">
        <v>0</v>
      </c>
      <c r="G321">
        <v>7810</v>
      </c>
      <c r="H321">
        <v>0</v>
      </c>
      <c r="I321">
        <v>0</v>
      </c>
      <c r="J321">
        <v>4</v>
      </c>
      <c r="K321">
        <f t="shared" si="4"/>
        <v>24</v>
      </c>
      <c r="L321">
        <v>0</v>
      </c>
      <c r="M321" t="str">
        <f>IF(L321=0,"",IF(#REF!&gt;0,"CONTRATISTA",IF(#REF!&gt;0,"CLIENTE","SIN_INFO")))</f>
        <v/>
      </c>
      <c r="N321" s="4" t="s">
        <v>104</v>
      </c>
    </row>
    <row r="322" spans="1:14" hidden="1">
      <c r="A322" s="2">
        <v>46196</v>
      </c>
      <c r="B322" t="s">
        <v>40</v>
      </c>
      <c r="C322" t="s">
        <v>41</v>
      </c>
      <c r="D322" t="s">
        <v>21</v>
      </c>
      <c r="E322">
        <v>19</v>
      </c>
      <c r="F322">
        <v>5</v>
      </c>
      <c r="G322">
        <v>4865</v>
      </c>
      <c r="H322">
        <v>0</v>
      </c>
      <c r="I322">
        <v>0</v>
      </c>
      <c r="J322">
        <v>0</v>
      </c>
      <c r="K322">
        <f t="shared" si="4"/>
        <v>24</v>
      </c>
      <c r="L322">
        <v>0</v>
      </c>
      <c r="M322" t="str">
        <f>IF(L322=0,"",IF(#REF!&gt;0,"CONTRATISTA",IF(#REF!&gt;0,"CLIENTE","SIN_INFO")))</f>
        <v/>
      </c>
      <c r="N322" s="4" t="s">
        <v>101</v>
      </c>
    </row>
    <row r="323" spans="1:14" hidden="1">
      <c r="A323" s="2">
        <v>46196</v>
      </c>
      <c r="B323" t="s">
        <v>40</v>
      </c>
      <c r="C323" t="s">
        <v>41</v>
      </c>
      <c r="D323" t="s">
        <v>22</v>
      </c>
      <c r="E323">
        <v>16</v>
      </c>
      <c r="F323">
        <v>8</v>
      </c>
      <c r="G323">
        <v>5991</v>
      </c>
      <c r="H323">
        <v>0</v>
      </c>
      <c r="I323">
        <v>0</v>
      </c>
      <c r="J323">
        <v>0</v>
      </c>
      <c r="K323">
        <f t="shared" si="4"/>
        <v>24</v>
      </c>
      <c r="L323">
        <v>0</v>
      </c>
      <c r="M323" t="str">
        <f>IF(L323=0,"",IF(#REF!&gt;0,"CONTRATISTA",IF(#REF!&gt;0,"CLIENTE","SIN_INFO")))</f>
        <v/>
      </c>
      <c r="N323" s="4" t="s">
        <v>101</v>
      </c>
    </row>
    <row r="324" spans="1:14" hidden="1">
      <c r="A324" s="2">
        <v>46196</v>
      </c>
      <c r="B324" t="s">
        <v>40</v>
      </c>
      <c r="C324" t="s">
        <v>41</v>
      </c>
      <c r="D324" t="s">
        <v>23</v>
      </c>
      <c r="E324">
        <v>11</v>
      </c>
      <c r="F324">
        <v>13</v>
      </c>
      <c r="G324">
        <v>3808</v>
      </c>
      <c r="H324">
        <v>0</v>
      </c>
      <c r="I324">
        <v>0</v>
      </c>
      <c r="J324">
        <v>0</v>
      </c>
      <c r="K324">
        <f t="shared" ref="K324:K387" si="5">SUM(E324+F324+H324+I324+J324)</f>
        <v>24</v>
      </c>
      <c r="L324">
        <v>0</v>
      </c>
      <c r="M324" t="str">
        <f>IF(L324=0,"",IF(#REF!&gt;0,"CONTRATISTA",IF(#REF!&gt;0,"CLIENTE","SIN_INFO")))</f>
        <v/>
      </c>
      <c r="N324" s="4" t="s">
        <v>101</v>
      </c>
    </row>
    <row r="325" spans="1:14" hidden="1">
      <c r="A325" s="2">
        <v>46197</v>
      </c>
      <c r="B325" t="s">
        <v>40</v>
      </c>
      <c r="C325" t="s">
        <v>41</v>
      </c>
      <c r="D325" t="s">
        <v>9</v>
      </c>
      <c r="E325">
        <v>18</v>
      </c>
      <c r="F325">
        <v>0</v>
      </c>
      <c r="G325">
        <v>11854</v>
      </c>
      <c r="H325">
        <v>0</v>
      </c>
      <c r="I325">
        <v>0</v>
      </c>
      <c r="J325">
        <v>6</v>
      </c>
      <c r="K325">
        <f t="shared" si="5"/>
        <v>24</v>
      </c>
      <c r="L325">
        <v>0</v>
      </c>
      <c r="M325" t="str">
        <f>IF(L325=0,"",IF(#REF!&gt;0,"CONTRATISTA",IF(#REF!&gt;0,"CLIENTE","SIN_INFO")))</f>
        <v/>
      </c>
      <c r="N325" s="4" t="s">
        <v>105</v>
      </c>
    </row>
    <row r="326" spans="1:14" hidden="1">
      <c r="A326" s="2">
        <v>46197</v>
      </c>
      <c r="B326" t="s">
        <v>40</v>
      </c>
      <c r="C326" t="s">
        <v>41</v>
      </c>
      <c r="D326" t="s">
        <v>10</v>
      </c>
      <c r="E326">
        <v>13</v>
      </c>
      <c r="F326">
        <v>0</v>
      </c>
      <c r="G326">
        <v>8893</v>
      </c>
      <c r="H326">
        <v>0</v>
      </c>
      <c r="I326">
        <v>0</v>
      </c>
      <c r="J326">
        <v>11</v>
      </c>
      <c r="K326">
        <f t="shared" si="5"/>
        <v>24</v>
      </c>
      <c r="L326">
        <v>0</v>
      </c>
      <c r="M326" t="str">
        <f>IF(L326=0,"",IF(#REF!&gt;0,"CONTRATISTA",IF(#REF!&gt;0,"CLIENTE","SIN_INFO")))</f>
        <v/>
      </c>
      <c r="N326" s="4" t="s">
        <v>106</v>
      </c>
    </row>
    <row r="327" spans="1:14" hidden="1">
      <c r="A327" s="2">
        <v>46197</v>
      </c>
      <c r="B327" t="s">
        <v>40</v>
      </c>
      <c r="C327" t="s">
        <v>41</v>
      </c>
      <c r="D327" t="s">
        <v>11</v>
      </c>
      <c r="E327">
        <v>18</v>
      </c>
      <c r="F327">
        <v>0</v>
      </c>
      <c r="G327">
        <v>11674</v>
      </c>
      <c r="H327">
        <v>0</v>
      </c>
      <c r="I327">
        <v>0</v>
      </c>
      <c r="J327">
        <v>6</v>
      </c>
      <c r="K327">
        <f t="shared" si="5"/>
        <v>24</v>
      </c>
      <c r="L327">
        <v>0</v>
      </c>
      <c r="M327" t="str">
        <f>IF(L327=0,"",IF(#REF!&gt;0,"CONTRATISTA",IF(#REF!&gt;0,"CLIENTE","SIN_INFO")))</f>
        <v/>
      </c>
      <c r="N327" s="4" t="s">
        <v>105</v>
      </c>
    </row>
    <row r="328" spans="1:14" hidden="1">
      <c r="A328" s="2">
        <v>46197</v>
      </c>
      <c r="B328" t="s">
        <v>40</v>
      </c>
      <c r="C328" t="s">
        <v>41</v>
      </c>
      <c r="D328" t="s">
        <v>12</v>
      </c>
      <c r="E328">
        <v>23</v>
      </c>
      <c r="F328">
        <v>0</v>
      </c>
      <c r="G328">
        <v>17061</v>
      </c>
      <c r="H328">
        <v>0</v>
      </c>
      <c r="I328">
        <v>0</v>
      </c>
      <c r="J328">
        <v>1</v>
      </c>
      <c r="K328">
        <f t="shared" si="5"/>
        <v>24</v>
      </c>
      <c r="L328">
        <v>0</v>
      </c>
      <c r="M328" t="str">
        <f>IF(L328=0,"",IF(#REF!&gt;0,"CONTRATISTA",IF(#REF!&gt;0,"CLIENTE","SIN_INFO")))</f>
        <v/>
      </c>
      <c r="N328" s="4" t="s">
        <v>107</v>
      </c>
    </row>
    <row r="329" spans="1:14" hidden="1">
      <c r="A329" s="2">
        <v>46197</v>
      </c>
      <c r="B329" t="s">
        <v>40</v>
      </c>
      <c r="C329" t="s">
        <v>41</v>
      </c>
      <c r="D329" t="s">
        <v>13</v>
      </c>
      <c r="E329">
        <v>24</v>
      </c>
      <c r="F329">
        <v>0</v>
      </c>
      <c r="G329">
        <v>19249</v>
      </c>
      <c r="H329">
        <v>0</v>
      </c>
      <c r="I329">
        <v>0</v>
      </c>
      <c r="J329">
        <v>0</v>
      </c>
      <c r="K329">
        <f t="shared" si="5"/>
        <v>24</v>
      </c>
      <c r="L329">
        <v>0</v>
      </c>
      <c r="M329" t="str">
        <f>IF(L329=0,"",IF(#REF!&gt;0,"CONTRATISTA",IF(#REF!&gt;0,"CLIENTE","SIN_INFO")))</f>
        <v/>
      </c>
      <c r="N329" s="4"/>
    </row>
    <row r="330" spans="1:14" hidden="1">
      <c r="A330" s="2">
        <v>46197</v>
      </c>
      <c r="B330" t="s">
        <v>40</v>
      </c>
      <c r="C330" t="s">
        <v>41</v>
      </c>
      <c r="D330" t="s">
        <v>14</v>
      </c>
      <c r="E330">
        <v>23</v>
      </c>
      <c r="F330">
        <v>0</v>
      </c>
      <c r="G330">
        <v>17939</v>
      </c>
      <c r="H330">
        <v>0</v>
      </c>
      <c r="I330">
        <v>0</v>
      </c>
      <c r="J330">
        <v>1</v>
      </c>
      <c r="K330">
        <f t="shared" si="5"/>
        <v>24</v>
      </c>
      <c r="L330">
        <v>0</v>
      </c>
      <c r="M330" t="str">
        <f>IF(L330=0,"",IF(#REF!&gt;0,"CONTRATISTA",IF(#REF!&gt;0,"CLIENTE","SIN_INFO")))</f>
        <v/>
      </c>
      <c r="N330" s="4" t="s">
        <v>107</v>
      </c>
    </row>
    <row r="331" spans="1:14" hidden="1">
      <c r="A331" s="2">
        <v>46197</v>
      </c>
      <c r="B331" t="s">
        <v>40</v>
      </c>
      <c r="C331" t="s">
        <v>41</v>
      </c>
      <c r="D331" t="s">
        <v>15</v>
      </c>
      <c r="E331">
        <v>18</v>
      </c>
      <c r="F331">
        <v>0</v>
      </c>
      <c r="G331">
        <v>10881</v>
      </c>
      <c r="H331">
        <v>0</v>
      </c>
      <c r="I331">
        <v>0</v>
      </c>
      <c r="J331">
        <v>6</v>
      </c>
      <c r="K331">
        <f t="shared" si="5"/>
        <v>24</v>
      </c>
      <c r="L331">
        <v>0</v>
      </c>
      <c r="M331" t="str">
        <f>IF(L331=0,"",IF(#REF!&gt;0,"CONTRATISTA",IF(#REF!&gt;0,"CLIENTE","SIN_INFO")))</f>
        <v/>
      </c>
      <c r="N331" s="4" t="s">
        <v>108</v>
      </c>
    </row>
    <row r="332" spans="1:14" hidden="1">
      <c r="A332" s="2">
        <v>46197</v>
      </c>
      <c r="B332" t="s">
        <v>40</v>
      </c>
      <c r="C332" t="s">
        <v>41</v>
      </c>
      <c r="D332" t="s">
        <v>16</v>
      </c>
      <c r="E332">
        <v>2</v>
      </c>
      <c r="F332">
        <v>22</v>
      </c>
      <c r="G332">
        <v>780</v>
      </c>
      <c r="H332">
        <v>0</v>
      </c>
      <c r="I332">
        <v>0</v>
      </c>
      <c r="J332">
        <v>0</v>
      </c>
      <c r="K332">
        <f t="shared" si="5"/>
        <v>24</v>
      </c>
      <c r="L332">
        <v>0</v>
      </c>
      <c r="M332" t="str">
        <f>IF(L332=0,"",IF(#REF!&gt;0,"CONTRATISTA",IF(#REF!&gt;0,"CLIENTE","SIN_INFO")))</f>
        <v/>
      </c>
      <c r="N332" s="4" t="s">
        <v>109</v>
      </c>
    </row>
    <row r="333" spans="1:14" hidden="1">
      <c r="A333" s="2">
        <v>46197</v>
      </c>
      <c r="B333" t="s">
        <v>40</v>
      </c>
      <c r="C333" t="s">
        <v>41</v>
      </c>
      <c r="D333" t="s">
        <v>17</v>
      </c>
      <c r="E333">
        <v>3</v>
      </c>
      <c r="F333">
        <v>21</v>
      </c>
      <c r="G333">
        <v>1791</v>
      </c>
      <c r="H333">
        <v>0</v>
      </c>
      <c r="I333">
        <v>0</v>
      </c>
      <c r="J333">
        <v>0</v>
      </c>
      <c r="K333">
        <f t="shared" si="5"/>
        <v>24</v>
      </c>
      <c r="L333">
        <v>0</v>
      </c>
      <c r="M333" t="str">
        <f>IF(L333=0,"",IF(#REF!&gt;0,"CONTRATISTA",IF(#REF!&gt;0,"CLIENTE","SIN_INFO")))</f>
        <v/>
      </c>
      <c r="N333" s="4" t="s">
        <v>110</v>
      </c>
    </row>
    <row r="334" spans="1:14" hidden="1">
      <c r="A334" s="2">
        <v>46197</v>
      </c>
      <c r="B334" t="s">
        <v>40</v>
      </c>
      <c r="C334" t="s">
        <v>41</v>
      </c>
      <c r="D334" t="s">
        <v>18</v>
      </c>
      <c r="E334">
        <v>2</v>
      </c>
      <c r="F334">
        <v>22</v>
      </c>
      <c r="G334">
        <v>319</v>
      </c>
      <c r="H334">
        <v>0</v>
      </c>
      <c r="I334">
        <v>0</v>
      </c>
      <c r="J334">
        <v>0</v>
      </c>
      <c r="K334">
        <f t="shared" si="5"/>
        <v>24</v>
      </c>
      <c r="L334">
        <v>0</v>
      </c>
      <c r="M334" t="str">
        <f>IF(L334=0,"",IF(#REF!&gt;0,"CONTRATISTA",IF(#REF!&gt;0,"CLIENTE","SIN_INFO")))</f>
        <v/>
      </c>
      <c r="N334" s="4" t="s">
        <v>111</v>
      </c>
    </row>
    <row r="335" spans="1:14" hidden="1">
      <c r="A335" s="2">
        <v>46197</v>
      </c>
      <c r="B335" t="s">
        <v>40</v>
      </c>
      <c r="C335" t="s">
        <v>42</v>
      </c>
      <c r="D335" t="s">
        <v>19</v>
      </c>
      <c r="E335">
        <v>24</v>
      </c>
      <c r="F335">
        <v>0</v>
      </c>
      <c r="G335">
        <v>9314</v>
      </c>
      <c r="H335">
        <v>0</v>
      </c>
      <c r="I335">
        <v>0</v>
      </c>
      <c r="J335">
        <v>0</v>
      </c>
      <c r="K335">
        <f t="shared" si="5"/>
        <v>24</v>
      </c>
      <c r="L335">
        <v>0</v>
      </c>
      <c r="M335" t="str">
        <f>IF(L335=0,"",IF(#REF!&gt;0,"CONTRATISTA",IF(#REF!&gt;0,"CLIENTE","SIN_INFO")))</f>
        <v/>
      </c>
      <c r="N335" s="4"/>
    </row>
    <row r="336" spans="1:14" hidden="1">
      <c r="A336" s="2">
        <v>46197</v>
      </c>
      <c r="B336" t="s">
        <v>40</v>
      </c>
      <c r="C336" t="s">
        <v>42</v>
      </c>
      <c r="D336" t="s">
        <v>20</v>
      </c>
      <c r="E336">
        <v>18</v>
      </c>
      <c r="F336">
        <v>0</v>
      </c>
      <c r="G336">
        <v>7629</v>
      </c>
      <c r="H336">
        <v>0</v>
      </c>
      <c r="I336">
        <v>0</v>
      </c>
      <c r="J336">
        <v>6</v>
      </c>
      <c r="K336">
        <f t="shared" si="5"/>
        <v>24</v>
      </c>
      <c r="L336">
        <v>0</v>
      </c>
      <c r="M336" t="str">
        <f>IF(L336=0,"",IF(#REF!&gt;0,"CONTRATISTA",IF(#REF!&gt;0,"CLIENTE","SIN_INFO")))</f>
        <v/>
      </c>
      <c r="N336" s="4" t="s">
        <v>112</v>
      </c>
    </row>
    <row r="337" spans="1:14" hidden="1">
      <c r="A337" s="2">
        <v>46197</v>
      </c>
      <c r="B337" t="s">
        <v>40</v>
      </c>
      <c r="C337" t="s">
        <v>41</v>
      </c>
      <c r="D337" t="s">
        <v>21</v>
      </c>
      <c r="E337">
        <v>19</v>
      </c>
      <c r="F337">
        <v>1</v>
      </c>
      <c r="G337">
        <v>6825</v>
      </c>
      <c r="H337">
        <v>4</v>
      </c>
      <c r="I337">
        <v>0</v>
      </c>
      <c r="J337">
        <v>0</v>
      </c>
      <c r="K337">
        <f t="shared" si="5"/>
        <v>24</v>
      </c>
      <c r="L337">
        <v>0</v>
      </c>
      <c r="M337" t="str">
        <f>IF(L337=0,"",IF(#REF!&gt;0,"CONTRATISTA",IF(#REF!&gt;0,"CLIENTE","SIN_INFO")))</f>
        <v/>
      </c>
      <c r="N337" s="4" t="s">
        <v>113</v>
      </c>
    </row>
    <row r="338" spans="1:14" hidden="1">
      <c r="A338" s="2">
        <v>46197</v>
      </c>
      <c r="B338" t="s">
        <v>40</v>
      </c>
      <c r="C338" t="s">
        <v>41</v>
      </c>
      <c r="D338" t="s">
        <v>22</v>
      </c>
      <c r="E338">
        <v>16</v>
      </c>
      <c r="F338">
        <v>8</v>
      </c>
      <c r="G338">
        <v>5591</v>
      </c>
      <c r="H338">
        <v>0</v>
      </c>
      <c r="I338">
        <v>0</v>
      </c>
      <c r="J338">
        <v>0</v>
      </c>
      <c r="K338">
        <f t="shared" si="5"/>
        <v>24</v>
      </c>
      <c r="L338">
        <v>0</v>
      </c>
      <c r="M338" t="str">
        <f>IF(L338=0,"",IF(#REF!&gt;0,"CONTRATISTA",IF(#REF!&gt;0,"CLIENTE","SIN_INFO")))</f>
        <v/>
      </c>
      <c r="N338" s="4" t="s">
        <v>114</v>
      </c>
    </row>
    <row r="339" spans="1:14" hidden="1">
      <c r="A339" s="2">
        <v>46197</v>
      </c>
      <c r="B339" t="s">
        <v>40</v>
      </c>
      <c r="C339" t="s">
        <v>41</v>
      </c>
      <c r="D339" t="s">
        <v>23</v>
      </c>
      <c r="E339">
        <v>15</v>
      </c>
      <c r="F339">
        <v>9</v>
      </c>
      <c r="G339">
        <v>5602</v>
      </c>
      <c r="H339">
        <v>0</v>
      </c>
      <c r="I339">
        <v>0</v>
      </c>
      <c r="J339">
        <v>0</v>
      </c>
      <c r="K339">
        <f t="shared" si="5"/>
        <v>24</v>
      </c>
      <c r="L339">
        <v>0</v>
      </c>
      <c r="M339" t="str">
        <f>IF(L339=0,"",IF(#REF!&gt;0,"CONTRATISTA",IF(#REF!&gt;0,"CLIENTE","SIN_INFO")))</f>
        <v/>
      </c>
      <c r="N339" s="4" t="s">
        <v>115</v>
      </c>
    </row>
    <row r="340" spans="1:14" hidden="1">
      <c r="A340" s="2">
        <v>46198</v>
      </c>
      <c r="B340" t="s">
        <v>40</v>
      </c>
      <c r="C340" t="s">
        <v>41</v>
      </c>
      <c r="D340" t="s">
        <v>9</v>
      </c>
      <c r="E340">
        <v>12</v>
      </c>
      <c r="F340">
        <v>0</v>
      </c>
      <c r="G340">
        <v>7851</v>
      </c>
      <c r="H340">
        <v>0</v>
      </c>
      <c r="I340">
        <v>0</v>
      </c>
      <c r="J340">
        <v>12</v>
      </c>
      <c r="K340">
        <f t="shared" si="5"/>
        <v>24</v>
      </c>
      <c r="L340">
        <v>0</v>
      </c>
      <c r="M340" t="str">
        <f>IF(L340=0,"",IF(#REF!&gt;0,"CONTRATISTA",IF(#REF!&gt;0,"CLIENTE","SIN_INFO")))</f>
        <v/>
      </c>
      <c r="N340" s="4" t="s">
        <v>116</v>
      </c>
    </row>
    <row r="341" spans="1:14" hidden="1">
      <c r="A341" s="2">
        <v>46198</v>
      </c>
      <c r="B341" t="s">
        <v>40</v>
      </c>
      <c r="C341" t="s">
        <v>41</v>
      </c>
      <c r="D341" t="s">
        <v>10</v>
      </c>
      <c r="E341">
        <v>13</v>
      </c>
      <c r="F341">
        <v>0</v>
      </c>
      <c r="G341">
        <v>8067</v>
      </c>
      <c r="H341">
        <v>0</v>
      </c>
      <c r="I341">
        <v>0</v>
      </c>
      <c r="J341">
        <v>11</v>
      </c>
      <c r="K341">
        <f t="shared" si="5"/>
        <v>24</v>
      </c>
      <c r="L341">
        <v>0</v>
      </c>
      <c r="M341" t="str">
        <f>IF(L341=0,"",IF(#REF!&gt;0,"CONTRATISTA",IF(#REF!&gt;0,"CLIENTE","SIN_INFO")))</f>
        <v/>
      </c>
      <c r="N341" s="4" t="s">
        <v>116</v>
      </c>
    </row>
    <row r="342" spans="1:14" hidden="1">
      <c r="A342" s="2">
        <v>46198</v>
      </c>
      <c r="B342" t="s">
        <v>40</v>
      </c>
      <c r="C342" t="s">
        <v>41</v>
      </c>
      <c r="D342" t="s">
        <v>11</v>
      </c>
      <c r="E342">
        <v>12</v>
      </c>
      <c r="F342">
        <v>0</v>
      </c>
      <c r="G342">
        <v>8107</v>
      </c>
      <c r="H342">
        <v>0</v>
      </c>
      <c r="I342">
        <v>0</v>
      </c>
      <c r="J342">
        <v>12</v>
      </c>
      <c r="K342">
        <f t="shared" si="5"/>
        <v>24</v>
      </c>
      <c r="L342">
        <v>0</v>
      </c>
      <c r="M342" t="str">
        <f>IF(L342=0,"",IF(#REF!&gt;0,"CONTRATISTA",IF(#REF!&gt;0,"CLIENTE","SIN_INFO")))</f>
        <v/>
      </c>
      <c r="N342" s="4" t="s">
        <v>116</v>
      </c>
    </row>
    <row r="343" spans="1:14" hidden="1">
      <c r="A343" s="2">
        <v>46198</v>
      </c>
      <c r="B343" t="s">
        <v>40</v>
      </c>
      <c r="C343" t="s">
        <v>41</v>
      </c>
      <c r="D343" t="s">
        <v>12</v>
      </c>
      <c r="E343">
        <v>24</v>
      </c>
      <c r="F343">
        <v>0</v>
      </c>
      <c r="G343">
        <v>18363</v>
      </c>
      <c r="H343">
        <v>0</v>
      </c>
      <c r="I343">
        <v>0</v>
      </c>
      <c r="J343">
        <v>0</v>
      </c>
      <c r="K343">
        <f t="shared" si="5"/>
        <v>24</v>
      </c>
      <c r="L343">
        <v>0</v>
      </c>
      <c r="M343" t="str">
        <f>IF(L343=0,"",IF(#REF!&gt;0,"CONTRATISTA",IF(#REF!&gt;0,"CLIENTE","SIN_INFO")))</f>
        <v/>
      </c>
      <c r="N343" s="4"/>
    </row>
    <row r="344" spans="1:14" hidden="1">
      <c r="A344" s="2">
        <v>46198</v>
      </c>
      <c r="B344" t="s">
        <v>40</v>
      </c>
      <c r="C344" t="s">
        <v>41</v>
      </c>
      <c r="D344" t="s">
        <v>13</v>
      </c>
      <c r="E344">
        <v>24</v>
      </c>
      <c r="F344">
        <v>0</v>
      </c>
      <c r="G344">
        <v>19057</v>
      </c>
      <c r="H344">
        <v>0</v>
      </c>
      <c r="I344">
        <v>0</v>
      </c>
      <c r="J344">
        <v>0</v>
      </c>
      <c r="K344">
        <f t="shared" si="5"/>
        <v>24</v>
      </c>
      <c r="L344">
        <v>0</v>
      </c>
      <c r="M344" t="str">
        <f>IF(L344=0,"",IF(#REF!&gt;0,"CONTRATISTA",IF(#REF!&gt;0,"CLIENTE","SIN_INFO")))</f>
        <v/>
      </c>
      <c r="N344" s="4"/>
    </row>
    <row r="345" spans="1:14" hidden="1">
      <c r="A345" s="2">
        <v>46198</v>
      </c>
      <c r="B345" t="s">
        <v>40</v>
      </c>
      <c r="C345" t="s">
        <v>41</v>
      </c>
      <c r="D345" t="s">
        <v>14</v>
      </c>
      <c r="E345">
        <v>24</v>
      </c>
      <c r="F345">
        <v>0</v>
      </c>
      <c r="G345">
        <v>19687</v>
      </c>
      <c r="H345">
        <v>0</v>
      </c>
      <c r="I345">
        <v>0</v>
      </c>
      <c r="J345">
        <v>0</v>
      </c>
      <c r="K345">
        <f t="shared" si="5"/>
        <v>24</v>
      </c>
      <c r="L345">
        <v>0</v>
      </c>
      <c r="M345" t="str">
        <f>IF(L345=0,"",IF(#REF!&gt;0,"CONTRATISTA",IF(#REF!&gt;0,"CLIENTE","SIN_INFO")))</f>
        <v/>
      </c>
      <c r="N345" s="4"/>
    </row>
    <row r="346" spans="1:14" hidden="1">
      <c r="A346" s="2">
        <v>46198</v>
      </c>
      <c r="B346" t="s">
        <v>40</v>
      </c>
      <c r="C346" t="s">
        <v>41</v>
      </c>
      <c r="D346" t="s">
        <v>15</v>
      </c>
      <c r="E346">
        <v>12</v>
      </c>
      <c r="F346">
        <v>0</v>
      </c>
      <c r="G346">
        <v>7422</v>
      </c>
      <c r="H346">
        <v>0</v>
      </c>
      <c r="I346">
        <v>0</v>
      </c>
      <c r="J346">
        <v>12</v>
      </c>
      <c r="K346">
        <f t="shared" si="5"/>
        <v>24</v>
      </c>
      <c r="L346">
        <v>0</v>
      </c>
      <c r="M346" t="str">
        <f>IF(L346=0,"",IF(#REF!&gt;0,"CONTRATISTA",IF(#REF!&gt;0,"CLIENTE","SIN_INFO")))</f>
        <v/>
      </c>
      <c r="N346" s="4" t="s">
        <v>116</v>
      </c>
    </row>
    <row r="347" spans="1:14" hidden="1">
      <c r="A347" s="2">
        <v>46198</v>
      </c>
      <c r="B347" t="s">
        <v>40</v>
      </c>
      <c r="C347" t="s">
        <v>41</v>
      </c>
      <c r="D347" t="s">
        <v>16</v>
      </c>
      <c r="E347">
        <v>0</v>
      </c>
      <c r="F347">
        <v>24</v>
      </c>
      <c r="G347">
        <v>0</v>
      </c>
      <c r="H347">
        <v>0</v>
      </c>
      <c r="I347">
        <v>0</v>
      </c>
      <c r="J347">
        <v>0</v>
      </c>
      <c r="K347">
        <f t="shared" si="5"/>
        <v>24</v>
      </c>
      <c r="L347">
        <v>0</v>
      </c>
      <c r="M347" t="str">
        <f>IF(L347=0,"",IF(#REF!&gt;0,"CONTRATISTA",IF(#REF!&gt;0,"CLIENTE","SIN_INFO")))</f>
        <v/>
      </c>
      <c r="N347" s="4"/>
    </row>
    <row r="348" spans="1:14" hidden="1">
      <c r="A348" s="2">
        <v>46198</v>
      </c>
      <c r="B348" t="s">
        <v>40</v>
      </c>
      <c r="C348" t="s">
        <v>41</v>
      </c>
      <c r="D348" t="s">
        <v>17</v>
      </c>
      <c r="E348">
        <v>2</v>
      </c>
      <c r="F348">
        <v>22</v>
      </c>
      <c r="G348">
        <v>1707</v>
      </c>
      <c r="H348">
        <v>0</v>
      </c>
      <c r="I348">
        <v>0</v>
      </c>
      <c r="J348">
        <v>0</v>
      </c>
      <c r="K348">
        <f t="shared" si="5"/>
        <v>24</v>
      </c>
      <c r="L348">
        <v>0</v>
      </c>
      <c r="M348" t="str">
        <f>IF(L348=0,"",IF(#REF!&gt;0,"CONTRATISTA",IF(#REF!&gt;0,"CLIENTE","SIN_INFO")))</f>
        <v/>
      </c>
      <c r="N348" s="4"/>
    </row>
    <row r="349" spans="1:14" hidden="1">
      <c r="A349" s="2">
        <v>46198</v>
      </c>
      <c r="B349" t="s">
        <v>40</v>
      </c>
      <c r="C349" t="s">
        <v>41</v>
      </c>
      <c r="D349" t="s">
        <v>18</v>
      </c>
      <c r="E349">
        <v>9</v>
      </c>
      <c r="F349">
        <v>15</v>
      </c>
      <c r="G349">
        <v>7596</v>
      </c>
      <c r="H349">
        <v>0</v>
      </c>
      <c r="I349">
        <v>0</v>
      </c>
      <c r="J349">
        <v>0</v>
      </c>
      <c r="K349">
        <f t="shared" si="5"/>
        <v>24</v>
      </c>
      <c r="L349">
        <v>0</v>
      </c>
      <c r="M349" t="str">
        <f>IF(L349=0,"",IF(#REF!&gt;0,"CONTRATISTA",IF(#REF!&gt;0,"CLIENTE","SIN_INFO")))</f>
        <v/>
      </c>
      <c r="N349" s="4"/>
    </row>
    <row r="350" spans="1:14" hidden="1">
      <c r="A350" s="2">
        <v>46198</v>
      </c>
      <c r="B350" t="s">
        <v>40</v>
      </c>
      <c r="C350" t="s">
        <v>42</v>
      </c>
      <c r="D350" t="s">
        <v>19</v>
      </c>
      <c r="E350">
        <v>24</v>
      </c>
      <c r="F350">
        <v>0</v>
      </c>
      <c r="G350">
        <v>9603</v>
      </c>
      <c r="H350">
        <v>0</v>
      </c>
      <c r="I350">
        <v>0</v>
      </c>
      <c r="J350">
        <v>0</v>
      </c>
      <c r="K350">
        <f t="shared" si="5"/>
        <v>24</v>
      </c>
      <c r="L350">
        <v>0</v>
      </c>
      <c r="M350" t="str">
        <f>IF(L350=0,"",IF(#REF!&gt;0,"CONTRATISTA",IF(#REF!&gt;0,"CLIENTE","SIN_INFO")))</f>
        <v/>
      </c>
      <c r="N350" s="4" t="s">
        <v>117</v>
      </c>
    </row>
    <row r="351" spans="1:14" hidden="1">
      <c r="A351" s="2">
        <v>46198</v>
      </c>
      <c r="B351" t="s">
        <v>40</v>
      </c>
      <c r="C351" t="s">
        <v>42</v>
      </c>
      <c r="D351" t="s">
        <v>20</v>
      </c>
      <c r="E351">
        <v>24</v>
      </c>
      <c r="F351">
        <v>0</v>
      </c>
      <c r="G351">
        <v>8397</v>
      </c>
      <c r="H351">
        <v>0</v>
      </c>
      <c r="I351">
        <v>0</v>
      </c>
      <c r="J351">
        <v>0</v>
      </c>
      <c r="K351">
        <f t="shared" si="5"/>
        <v>24</v>
      </c>
      <c r="L351">
        <v>0</v>
      </c>
      <c r="M351" t="str">
        <f>IF(L351=0,"",IF(#REF!&gt;0,"CONTRATISTA",IF(#REF!&gt;0,"CLIENTE","SIN_INFO")))</f>
        <v/>
      </c>
      <c r="N351" s="4" t="s">
        <v>118</v>
      </c>
    </row>
    <row r="352" spans="1:14" hidden="1">
      <c r="A352" s="2">
        <v>46198</v>
      </c>
      <c r="B352" t="s">
        <v>40</v>
      </c>
      <c r="C352" t="s">
        <v>41</v>
      </c>
      <c r="D352" t="s">
        <v>21</v>
      </c>
      <c r="E352">
        <v>18</v>
      </c>
      <c r="F352">
        <v>6</v>
      </c>
      <c r="G352">
        <v>6875</v>
      </c>
      <c r="H352">
        <v>0</v>
      </c>
      <c r="I352">
        <v>0</v>
      </c>
      <c r="J352">
        <v>0</v>
      </c>
      <c r="K352">
        <f t="shared" si="5"/>
        <v>24</v>
      </c>
      <c r="L352">
        <v>0</v>
      </c>
      <c r="M352" t="str">
        <f>IF(L352=0,"",IF(#REF!&gt;0,"CONTRATISTA",IF(#REF!&gt;0,"CLIENTE","SIN_INFO")))</f>
        <v/>
      </c>
      <c r="N352" s="4"/>
    </row>
    <row r="353" spans="1:14" hidden="1">
      <c r="A353" s="2">
        <v>46198</v>
      </c>
      <c r="B353" t="s">
        <v>40</v>
      </c>
      <c r="C353" t="s">
        <v>41</v>
      </c>
      <c r="D353" t="s">
        <v>22</v>
      </c>
      <c r="E353">
        <v>16</v>
      </c>
      <c r="F353">
        <v>8</v>
      </c>
      <c r="G353">
        <v>5881</v>
      </c>
      <c r="H353">
        <v>0</v>
      </c>
      <c r="I353">
        <v>0</v>
      </c>
      <c r="J353">
        <v>0</v>
      </c>
      <c r="K353">
        <f t="shared" si="5"/>
        <v>24</v>
      </c>
      <c r="L353">
        <v>0</v>
      </c>
      <c r="M353" t="str">
        <f>IF(L353=0,"",IF(#REF!&gt;0,"CONTRATISTA",IF(#REF!&gt;0,"CLIENTE","SIN_INFO")))</f>
        <v/>
      </c>
      <c r="N353" s="4"/>
    </row>
    <row r="354" spans="1:14" hidden="1">
      <c r="A354" s="2">
        <v>46198</v>
      </c>
      <c r="B354" t="s">
        <v>40</v>
      </c>
      <c r="C354" t="s">
        <v>41</v>
      </c>
      <c r="D354" t="s">
        <v>23</v>
      </c>
      <c r="E354">
        <v>8</v>
      </c>
      <c r="F354">
        <v>16</v>
      </c>
      <c r="G354">
        <v>2728</v>
      </c>
      <c r="H354">
        <v>0</v>
      </c>
      <c r="I354">
        <v>0</v>
      </c>
      <c r="J354">
        <v>0</v>
      </c>
      <c r="K354">
        <f t="shared" si="5"/>
        <v>24</v>
      </c>
      <c r="L354">
        <v>0</v>
      </c>
      <c r="M354" t="str">
        <f>IF(L354=0,"",IF(#REF!&gt;0,"CONTRATISTA",IF(#REF!&gt;0,"CLIENTE","SIN_INFO")))</f>
        <v/>
      </c>
      <c r="N354" s="4" t="s">
        <v>116</v>
      </c>
    </row>
    <row r="355" spans="1:14" hidden="1">
      <c r="A355" s="2">
        <v>46199</v>
      </c>
      <c r="B355" t="s">
        <v>40</v>
      </c>
      <c r="C355" t="s">
        <v>41</v>
      </c>
      <c r="D355" t="s">
        <v>9</v>
      </c>
      <c r="E355">
        <v>22</v>
      </c>
      <c r="F355">
        <v>0</v>
      </c>
      <c r="G355">
        <v>14579</v>
      </c>
      <c r="H355">
        <v>0</v>
      </c>
      <c r="I355">
        <v>0</v>
      </c>
      <c r="J355">
        <v>2</v>
      </c>
      <c r="K355">
        <f t="shared" si="5"/>
        <v>24</v>
      </c>
      <c r="L355">
        <v>0</v>
      </c>
      <c r="M355" t="str">
        <f>IF(L355=0,"",IF(#REF!&gt;0,"CONTRATISTA",IF(#REF!&gt;0,"CLIENTE","SIN_INFO")))</f>
        <v/>
      </c>
      <c r="N355" s="4" t="s">
        <v>119</v>
      </c>
    </row>
    <row r="356" spans="1:14" hidden="1">
      <c r="A356" s="2">
        <v>46199</v>
      </c>
      <c r="B356" t="s">
        <v>40</v>
      </c>
      <c r="C356" t="s">
        <v>41</v>
      </c>
      <c r="D356" t="s">
        <v>10</v>
      </c>
      <c r="E356">
        <v>22</v>
      </c>
      <c r="F356">
        <v>0</v>
      </c>
      <c r="G356">
        <v>14030</v>
      </c>
      <c r="H356">
        <v>0</v>
      </c>
      <c r="I356">
        <v>0</v>
      </c>
      <c r="J356">
        <v>2</v>
      </c>
      <c r="K356">
        <f t="shared" si="5"/>
        <v>24</v>
      </c>
      <c r="L356">
        <v>0</v>
      </c>
      <c r="M356" t="str">
        <f>IF(L356=0,"",IF(#REF!&gt;0,"CONTRATISTA",IF(#REF!&gt;0,"CLIENTE","SIN_INFO")))</f>
        <v/>
      </c>
      <c r="N356" s="4" t="s">
        <v>119</v>
      </c>
    </row>
    <row r="357" spans="1:14" hidden="1">
      <c r="A357" s="2">
        <v>46199</v>
      </c>
      <c r="B357" t="s">
        <v>40</v>
      </c>
      <c r="C357" t="s">
        <v>41</v>
      </c>
      <c r="D357" t="s">
        <v>11</v>
      </c>
      <c r="E357">
        <v>22</v>
      </c>
      <c r="F357">
        <v>0</v>
      </c>
      <c r="G357">
        <v>14167</v>
      </c>
      <c r="H357">
        <v>0</v>
      </c>
      <c r="I357">
        <v>0</v>
      </c>
      <c r="J357">
        <v>2</v>
      </c>
      <c r="K357">
        <f t="shared" si="5"/>
        <v>24</v>
      </c>
      <c r="L357">
        <v>0</v>
      </c>
      <c r="M357" t="str">
        <f>IF(L357=0,"",IF(#REF!&gt;0,"CONTRATISTA",IF(#REF!&gt;0,"CLIENTE","SIN_INFO")))</f>
        <v/>
      </c>
      <c r="N357" s="4" t="s">
        <v>119</v>
      </c>
    </row>
    <row r="358" spans="1:14" hidden="1">
      <c r="A358" s="2">
        <v>46199</v>
      </c>
      <c r="B358" t="s">
        <v>40</v>
      </c>
      <c r="C358" t="s">
        <v>41</v>
      </c>
      <c r="D358" t="s">
        <v>12</v>
      </c>
      <c r="E358">
        <v>21</v>
      </c>
      <c r="F358">
        <v>0</v>
      </c>
      <c r="G358">
        <v>15633</v>
      </c>
      <c r="H358">
        <v>0</v>
      </c>
      <c r="I358">
        <v>0</v>
      </c>
      <c r="J358">
        <v>3</v>
      </c>
      <c r="K358">
        <f t="shared" si="5"/>
        <v>24</v>
      </c>
      <c r="L358">
        <v>0</v>
      </c>
      <c r="M358" t="str">
        <f>IF(L358=0,"",IF(#REF!&gt;0,"CONTRATISTA",IF(#REF!&gt;0,"CLIENTE","SIN_INFO")))</f>
        <v/>
      </c>
      <c r="N358" s="4" t="s">
        <v>120</v>
      </c>
    </row>
    <row r="359" spans="1:14" hidden="1">
      <c r="A359" s="2">
        <v>46199</v>
      </c>
      <c r="B359" t="s">
        <v>40</v>
      </c>
      <c r="C359" t="s">
        <v>41</v>
      </c>
      <c r="D359" t="s">
        <v>13</v>
      </c>
      <c r="E359">
        <v>21</v>
      </c>
      <c r="F359">
        <v>0</v>
      </c>
      <c r="G359">
        <v>16382</v>
      </c>
      <c r="H359">
        <v>0</v>
      </c>
      <c r="I359">
        <v>0</v>
      </c>
      <c r="J359">
        <v>3</v>
      </c>
      <c r="K359">
        <f t="shared" si="5"/>
        <v>24</v>
      </c>
      <c r="L359">
        <v>0</v>
      </c>
      <c r="M359" t="str">
        <f>IF(L359=0,"",IF(#REF!&gt;0,"CONTRATISTA",IF(#REF!&gt;0,"CLIENTE","SIN_INFO")))</f>
        <v/>
      </c>
      <c r="N359" s="4" t="s">
        <v>120</v>
      </c>
    </row>
    <row r="360" spans="1:14" hidden="1">
      <c r="A360" s="2">
        <v>46199</v>
      </c>
      <c r="B360" t="s">
        <v>40</v>
      </c>
      <c r="C360" t="s">
        <v>41</v>
      </c>
      <c r="D360" t="s">
        <v>14</v>
      </c>
      <c r="E360">
        <v>20</v>
      </c>
      <c r="F360">
        <v>4</v>
      </c>
      <c r="G360">
        <v>15895</v>
      </c>
      <c r="H360">
        <v>0</v>
      </c>
      <c r="I360">
        <v>0</v>
      </c>
      <c r="J360">
        <v>0</v>
      </c>
      <c r="K360">
        <f t="shared" si="5"/>
        <v>24</v>
      </c>
      <c r="L360">
        <v>0</v>
      </c>
      <c r="M360" t="str">
        <f>IF(L360=0,"",IF(#REF!&gt;0,"CONTRATISTA",IF(#REF!&gt;0,"CLIENTE","SIN_INFO")))</f>
        <v/>
      </c>
      <c r="N360" s="4" t="s">
        <v>120</v>
      </c>
    </row>
    <row r="361" spans="1:14" hidden="1">
      <c r="A361" s="2">
        <v>46199</v>
      </c>
      <c r="B361" t="s">
        <v>40</v>
      </c>
      <c r="C361" t="s">
        <v>41</v>
      </c>
      <c r="D361" t="s">
        <v>15</v>
      </c>
      <c r="E361">
        <v>21</v>
      </c>
      <c r="F361">
        <v>3</v>
      </c>
      <c r="G361">
        <v>13684</v>
      </c>
      <c r="H361">
        <v>0</v>
      </c>
      <c r="I361">
        <v>0</v>
      </c>
      <c r="J361">
        <v>0</v>
      </c>
      <c r="K361">
        <f t="shared" si="5"/>
        <v>24</v>
      </c>
      <c r="L361">
        <v>0</v>
      </c>
      <c r="M361" t="str">
        <f>IF(L361=0,"",IF(#REF!&gt;0,"CONTRATISTA",IF(#REF!&gt;0,"CLIENTE","SIN_INFO")))</f>
        <v/>
      </c>
      <c r="N361" s="4" t="s">
        <v>119</v>
      </c>
    </row>
    <row r="362" spans="1:14" hidden="1">
      <c r="A362" s="2">
        <v>46199</v>
      </c>
      <c r="B362" t="s">
        <v>40</v>
      </c>
      <c r="C362" t="s">
        <v>41</v>
      </c>
      <c r="D362" t="s">
        <v>16</v>
      </c>
      <c r="E362">
        <v>0</v>
      </c>
      <c r="F362">
        <v>24</v>
      </c>
      <c r="G362">
        <v>0</v>
      </c>
      <c r="H362">
        <v>0</v>
      </c>
      <c r="I362">
        <v>0</v>
      </c>
      <c r="J362">
        <v>0</v>
      </c>
      <c r="K362">
        <f t="shared" si="5"/>
        <v>24</v>
      </c>
      <c r="L362">
        <v>0</v>
      </c>
      <c r="M362" t="str">
        <f>IF(L362=0,"",IF(#REF!&gt;0,"CONTRATISTA",IF(#REF!&gt;0,"CLIENTE","SIN_INFO")))</f>
        <v/>
      </c>
      <c r="N362" s="4"/>
    </row>
    <row r="363" spans="1:14" hidden="1">
      <c r="A363" s="2">
        <v>46199</v>
      </c>
      <c r="B363" t="s">
        <v>40</v>
      </c>
      <c r="C363" t="s">
        <v>41</v>
      </c>
      <c r="D363" t="s">
        <v>17</v>
      </c>
      <c r="E363">
        <v>3</v>
      </c>
      <c r="F363">
        <v>21</v>
      </c>
      <c r="G363">
        <v>1938</v>
      </c>
      <c r="H363">
        <v>0</v>
      </c>
      <c r="I363">
        <v>0</v>
      </c>
      <c r="J363">
        <v>0</v>
      </c>
      <c r="K363">
        <f t="shared" si="5"/>
        <v>24</v>
      </c>
      <c r="L363">
        <v>0</v>
      </c>
      <c r="M363" t="str">
        <f>IF(L363=0,"",IF(#REF!&gt;0,"CONTRATISTA",IF(#REF!&gt;0,"CLIENTE","SIN_INFO")))</f>
        <v/>
      </c>
      <c r="N363" s="4"/>
    </row>
    <row r="364" spans="1:14" hidden="1">
      <c r="A364" s="2">
        <v>46199</v>
      </c>
      <c r="B364" t="s">
        <v>40</v>
      </c>
      <c r="C364" t="s">
        <v>41</v>
      </c>
      <c r="D364" t="s">
        <v>18</v>
      </c>
      <c r="E364">
        <v>4</v>
      </c>
      <c r="F364">
        <v>20</v>
      </c>
      <c r="G364">
        <v>2742</v>
      </c>
      <c r="H364">
        <v>0</v>
      </c>
      <c r="I364">
        <v>0</v>
      </c>
      <c r="J364">
        <v>0</v>
      </c>
      <c r="K364">
        <f t="shared" si="5"/>
        <v>24</v>
      </c>
      <c r="L364">
        <v>0</v>
      </c>
      <c r="M364" t="str">
        <f>IF(L364=0,"",IF(#REF!&gt;0,"CONTRATISTA",IF(#REF!&gt;0,"CLIENTE","SIN_INFO")))</f>
        <v/>
      </c>
      <c r="N364" s="4"/>
    </row>
    <row r="365" spans="1:14" hidden="1">
      <c r="A365" s="2">
        <v>46199</v>
      </c>
      <c r="B365" t="s">
        <v>40</v>
      </c>
      <c r="C365" t="s">
        <v>42</v>
      </c>
      <c r="D365" t="s">
        <v>19</v>
      </c>
      <c r="E365">
        <v>24</v>
      </c>
      <c r="F365">
        <v>0</v>
      </c>
      <c r="G365">
        <v>9603</v>
      </c>
      <c r="H365">
        <v>0</v>
      </c>
      <c r="I365">
        <v>0</v>
      </c>
      <c r="J365">
        <v>0</v>
      </c>
      <c r="K365">
        <f t="shared" si="5"/>
        <v>24</v>
      </c>
      <c r="L365">
        <v>0</v>
      </c>
      <c r="M365" t="str">
        <f>IF(L365=0,"",IF(#REF!&gt;0,"CONTRATISTA",IF(#REF!&gt;0,"CLIENTE","SIN_INFO")))</f>
        <v/>
      </c>
      <c r="N365" s="4"/>
    </row>
    <row r="366" spans="1:14" hidden="1">
      <c r="A366" s="2">
        <v>46199</v>
      </c>
      <c r="B366" t="s">
        <v>40</v>
      </c>
      <c r="C366" t="s">
        <v>42</v>
      </c>
      <c r="D366" t="s">
        <v>20</v>
      </c>
      <c r="E366">
        <v>24</v>
      </c>
      <c r="F366">
        <v>0</v>
      </c>
      <c r="G366">
        <v>8402</v>
      </c>
      <c r="H366">
        <v>0</v>
      </c>
      <c r="I366">
        <v>0</v>
      </c>
      <c r="J366">
        <v>0</v>
      </c>
      <c r="K366">
        <f t="shared" si="5"/>
        <v>24</v>
      </c>
      <c r="L366">
        <v>0</v>
      </c>
      <c r="M366" t="str">
        <f>IF(L366=0,"",IF(#REF!&gt;0,"CONTRATISTA",IF(#REF!&gt;0,"CLIENTE","SIN_INFO")))</f>
        <v/>
      </c>
      <c r="N366" s="4"/>
    </row>
    <row r="367" spans="1:14" hidden="1">
      <c r="A367" s="2">
        <v>46199</v>
      </c>
      <c r="B367" t="s">
        <v>40</v>
      </c>
      <c r="C367" t="s">
        <v>41</v>
      </c>
      <c r="D367" t="s">
        <v>21</v>
      </c>
      <c r="E367">
        <v>21</v>
      </c>
      <c r="F367">
        <v>3</v>
      </c>
      <c r="G367">
        <v>6772</v>
      </c>
      <c r="H367">
        <v>0</v>
      </c>
      <c r="I367">
        <v>0</v>
      </c>
      <c r="J367">
        <v>0</v>
      </c>
      <c r="K367">
        <f t="shared" si="5"/>
        <v>24</v>
      </c>
      <c r="L367">
        <v>0</v>
      </c>
      <c r="M367" t="str">
        <f>IF(L367=0,"",IF(#REF!&gt;0,"CONTRATISTA",IF(#REF!&gt;0,"CLIENTE","SIN_INFO")))</f>
        <v/>
      </c>
      <c r="N367" s="4"/>
    </row>
    <row r="368" spans="1:14" hidden="1">
      <c r="A368" s="2">
        <v>46199</v>
      </c>
      <c r="B368" t="s">
        <v>40</v>
      </c>
      <c r="C368" t="s">
        <v>41</v>
      </c>
      <c r="D368" t="s">
        <v>22</v>
      </c>
      <c r="E368">
        <v>0</v>
      </c>
      <c r="F368">
        <v>24</v>
      </c>
      <c r="G368">
        <v>0</v>
      </c>
      <c r="H368">
        <v>0</v>
      </c>
      <c r="I368">
        <v>0</v>
      </c>
      <c r="J368">
        <v>0</v>
      </c>
      <c r="K368">
        <f t="shared" si="5"/>
        <v>24</v>
      </c>
      <c r="L368">
        <v>0</v>
      </c>
      <c r="M368" t="str">
        <f>IF(L368=0,"",IF(#REF!&gt;0,"CONTRATISTA",IF(#REF!&gt;0,"CLIENTE","SIN_INFO")))</f>
        <v/>
      </c>
      <c r="N368" s="4"/>
    </row>
    <row r="369" spans="1:14" hidden="1">
      <c r="A369" s="2">
        <v>46199</v>
      </c>
      <c r="B369" t="s">
        <v>40</v>
      </c>
      <c r="C369" t="s">
        <v>41</v>
      </c>
      <c r="D369" t="s">
        <v>23</v>
      </c>
      <c r="E369">
        <v>0</v>
      </c>
      <c r="F369">
        <v>24</v>
      </c>
      <c r="G369">
        <v>0</v>
      </c>
      <c r="H369">
        <v>0</v>
      </c>
      <c r="I369">
        <v>0</v>
      </c>
      <c r="J369">
        <v>0</v>
      </c>
      <c r="K369">
        <f t="shared" si="5"/>
        <v>24</v>
      </c>
      <c r="L369">
        <v>0</v>
      </c>
      <c r="M369" t="str">
        <f>IF(L369=0,"",IF(#REF!&gt;0,"CONTRATISTA",IF(#REF!&gt;0,"CLIENTE","SIN_INFO")))</f>
        <v/>
      </c>
      <c r="N369" s="4" t="s">
        <v>121</v>
      </c>
    </row>
    <row r="370" spans="1:14" hidden="1">
      <c r="A370" s="2">
        <v>46200</v>
      </c>
      <c r="B370" t="s">
        <v>40</v>
      </c>
      <c r="C370" t="s">
        <v>41</v>
      </c>
      <c r="D370" t="s">
        <v>9</v>
      </c>
      <c r="E370">
        <v>24</v>
      </c>
      <c r="F370">
        <v>0</v>
      </c>
      <c r="G370">
        <v>15270</v>
      </c>
      <c r="H370">
        <v>0</v>
      </c>
      <c r="I370">
        <v>0</v>
      </c>
      <c r="J370">
        <v>0</v>
      </c>
      <c r="K370">
        <f t="shared" si="5"/>
        <v>24</v>
      </c>
      <c r="L370">
        <v>0</v>
      </c>
      <c r="M370" t="str">
        <f>IF(L370=0,"",IF(#REF!&gt;0,"CONTRATISTA",IF(#REF!&gt;0,"CLIENTE","SIN_INFO")))</f>
        <v/>
      </c>
      <c r="N370" s="4"/>
    </row>
    <row r="371" spans="1:14" hidden="1">
      <c r="A371" s="2">
        <v>46200</v>
      </c>
      <c r="B371" t="s">
        <v>40</v>
      </c>
      <c r="C371" t="s">
        <v>41</v>
      </c>
      <c r="D371" t="s">
        <v>10</v>
      </c>
      <c r="E371">
        <v>24</v>
      </c>
      <c r="F371">
        <v>0</v>
      </c>
      <c r="G371">
        <v>15521</v>
      </c>
      <c r="H371">
        <v>0</v>
      </c>
      <c r="I371">
        <v>0</v>
      </c>
      <c r="J371">
        <v>0</v>
      </c>
      <c r="K371">
        <f t="shared" si="5"/>
        <v>24</v>
      </c>
      <c r="L371">
        <v>0</v>
      </c>
      <c r="M371" t="str">
        <f>IF(L371=0,"",IF(#REF!&gt;0,"CONTRATISTA",IF(#REF!&gt;0,"CLIENTE","SIN_INFO")))</f>
        <v/>
      </c>
      <c r="N371" s="4"/>
    </row>
    <row r="372" spans="1:14" hidden="1">
      <c r="A372" s="2">
        <v>46200</v>
      </c>
      <c r="B372" t="s">
        <v>40</v>
      </c>
      <c r="C372" t="s">
        <v>41</v>
      </c>
      <c r="D372" t="s">
        <v>11</v>
      </c>
      <c r="E372">
        <v>24</v>
      </c>
      <c r="F372">
        <v>0</v>
      </c>
      <c r="G372">
        <v>15920</v>
      </c>
      <c r="H372">
        <v>0</v>
      </c>
      <c r="I372">
        <v>0</v>
      </c>
      <c r="J372">
        <v>0</v>
      </c>
      <c r="K372">
        <f t="shared" si="5"/>
        <v>24</v>
      </c>
      <c r="L372">
        <v>0</v>
      </c>
      <c r="M372" t="str">
        <f>IF(L372=0,"",IF(#REF!&gt;0,"CONTRATISTA",IF(#REF!&gt;0,"CLIENTE","SIN_INFO")))</f>
        <v/>
      </c>
      <c r="N372" s="4"/>
    </row>
    <row r="373" spans="1:14" hidden="1">
      <c r="A373" s="2">
        <v>46200</v>
      </c>
      <c r="B373" t="s">
        <v>40</v>
      </c>
      <c r="C373" t="s">
        <v>41</v>
      </c>
      <c r="D373" t="s">
        <v>12</v>
      </c>
      <c r="E373">
        <v>24</v>
      </c>
      <c r="F373">
        <v>0</v>
      </c>
      <c r="G373">
        <v>18159</v>
      </c>
      <c r="H373">
        <v>0</v>
      </c>
      <c r="I373">
        <v>0</v>
      </c>
      <c r="J373">
        <v>0</v>
      </c>
      <c r="K373">
        <f t="shared" si="5"/>
        <v>24</v>
      </c>
      <c r="L373">
        <v>0</v>
      </c>
      <c r="M373" t="str">
        <f>IF(L373=0,"",IF(#REF!&gt;0,"CONTRATISTA",IF(#REF!&gt;0,"CLIENTE","SIN_INFO")))</f>
        <v/>
      </c>
      <c r="N373" s="4"/>
    </row>
    <row r="374" spans="1:14" hidden="1">
      <c r="A374" s="2">
        <v>46200</v>
      </c>
      <c r="B374" t="s">
        <v>40</v>
      </c>
      <c r="C374" t="s">
        <v>41</v>
      </c>
      <c r="D374" t="s">
        <v>13</v>
      </c>
      <c r="E374">
        <v>24</v>
      </c>
      <c r="F374">
        <v>0</v>
      </c>
      <c r="G374">
        <v>18954</v>
      </c>
      <c r="H374">
        <v>0</v>
      </c>
      <c r="I374">
        <v>0</v>
      </c>
      <c r="J374">
        <v>0</v>
      </c>
      <c r="K374">
        <f t="shared" si="5"/>
        <v>24</v>
      </c>
      <c r="L374">
        <v>0</v>
      </c>
      <c r="M374" t="str">
        <f>IF(L374=0,"",IF(#REF!&gt;0,"CONTRATISTA",IF(#REF!&gt;0,"CLIENTE","SIN_INFO")))</f>
        <v/>
      </c>
      <c r="N374" s="4"/>
    </row>
    <row r="375" spans="1:14">
      <c r="A375" s="2">
        <v>46200</v>
      </c>
      <c r="B375" t="s">
        <v>40</v>
      </c>
      <c r="C375" t="s">
        <v>41</v>
      </c>
      <c r="D375" t="s">
        <v>14</v>
      </c>
      <c r="E375">
        <v>22</v>
      </c>
      <c r="F375">
        <v>0</v>
      </c>
      <c r="G375">
        <v>19161</v>
      </c>
      <c r="H375">
        <v>0</v>
      </c>
      <c r="I375">
        <v>2</v>
      </c>
      <c r="J375">
        <v>0</v>
      </c>
      <c r="K375">
        <f t="shared" si="5"/>
        <v>24</v>
      </c>
      <c r="L375">
        <v>1</v>
      </c>
      <c r="M375" t="e">
        <f>IF(L375=0,"",IF(#REF!&gt;0,"CONTRATISTA",IF(#REF!&gt;0,"CLIENTE","SIN_INFO")))</f>
        <v>#REF!</v>
      </c>
      <c r="N375" s="4" t="s">
        <v>122</v>
      </c>
    </row>
    <row r="376" spans="1:14">
      <c r="A376" s="2">
        <v>46200</v>
      </c>
      <c r="B376" t="s">
        <v>40</v>
      </c>
      <c r="C376" t="s">
        <v>41</v>
      </c>
      <c r="D376" t="s">
        <v>15</v>
      </c>
      <c r="E376">
        <v>19</v>
      </c>
      <c r="F376">
        <v>0</v>
      </c>
      <c r="G376">
        <v>10642</v>
      </c>
      <c r="H376">
        <v>0</v>
      </c>
      <c r="I376">
        <v>5</v>
      </c>
      <c r="J376">
        <v>0</v>
      </c>
      <c r="K376">
        <f t="shared" si="5"/>
        <v>24</v>
      </c>
      <c r="L376">
        <v>1</v>
      </c>
      <c r="M376" t="e">
        <f>IF(L376=0,"",IF(#REF!&gt;0,"CONTRATISTA",IF(#REF!&gt;0,"CLIENTE","SIN_INFO")))</f>
        <v>#REF!</v>
      </c>
      <c r="N376" s="4" t="s">
        <v>122</v>
      </c>
    </row>
    <row r="377" spans="1:14" hidden="1">
      <c r="A377" s="2">
        <v>46200</v>
      </c>
      <c r="B377" t="s">
        <v>40</v>
      </c>
      <c r="C377" t="s">
        <v>41</v>
      </c>
      <c r="D377" t="s">
        <v>16</v>
      </c>
      <c r="E377">
        <v>0</v>
      </c>
      <c r="F377">
        <v>24</v>
      </c>
      <c r="G377">
        <v>0</v>
      </c>
      <c r="H377">
        <v>0</v>
      </c>
      <c r="I377">
        <v>0</v>
      </c>
      <c r="J377">
        <v>0</v>
      </c>
      <c r="K377">
        <f t="shared" si="5"/>
        <v>24</v>
      </c>
      <c r="L377">
        <v>0</v>
      </c>
      <c r="M377" t="str">
        <f>IF(L377=0,"",IF(#REF!&gt;0,"CONTRATISTA",IF(#REF!&gt;0,"CLIENTE","SIN_INFO")))</f>
        <v/>
      </c>
      <c r="N377" s="4"/>
    </row>
    <row r="378" spans="1:14" hidden="1">
      <c r="A378" s="2">
        <v>46200</v>
      </c>
      <c r="B378" t="s">
        <v>40</v>
      </c>
      <c r="C378" t="s">
        <v>41</v>
      </c>
      <c r="D378" t="s">
        <v>17</v>
      </c>
      <c r="E378">
        <v>0</v>
      </c>
      <c r="F378">
        <v>24</v>
      </c>
      <c r="G378">
        <v>0</v>
      </c>
      <c r="H378">
        <v>0</v>
      </c>
      <c r="I378">
        <v>0</v>
      </c>
      <c r="J378">
        <v>0</v>
      </c>
      <c r="K378">
        <f t="shared" si="5"/>
        <v>24</v>
      </c>
      <c r="L378">
        <v>0</v>
      </c>
      <c r="M378" t="str">
        <f>IF(L378=0,"",IF(#REF!&gt;0,"CONTRATISTA",IF(#REF!&gt;0,"CLIENTE","SIN_INFO")))</f>
        <v/>
      </c>
      <c r="N378" s="4"/>
    </row>
    <row r="379" spans="1:14" hidden="1">
      <c r="A379" s="2">
        <v>46200</v>
      </c>
      <c r="B379" t="s">
        <v>40</v>
      </c>
      <c r="C379" t="s">
        <v>41</v>
      </c>
      <c r="D379" t="s">
        <v>18</v>
      </c>
      <c r="E379">
        <v>0</v>
      </c>
      <c r="F379">
        <v>24</v>
      </c>
      <c r="G379">
        <v>0</v>
      </c>
      <c r="H379">
        <v>0</v>
      </c>
      <c r="I379">
        <v>0</v>
      </c>
      <c r="J379">
        <v>0</v>
      </c>
      <c r="K379">
        <f t="shared" si="5"/>
        <v>24</v>
      </c>
      <c r="L379">
        <v>0</v>
      </c>
      <c r="M379" t="str">
        <f>IF(L379=0,"",IF(#REF!&gt;0,"CONTRATISTA",IF(#REF!&gt;0,"CLIENTE","SIN_INFO")))</f>
        <v/>
      </c>
      <c r="N379" s="4"/>
    </row>
    <row r="380" spans="1:14" hidden="1">
      <c r="A380" s="2">
        <v>46200</v>
      </c>
      <c r="B380" t="s">
        <v>40</v>
      </c>
      <c r="C380" t="s">
        <v>42</v>
      </c>
      <c r="D380" t="s">
        <v>19</v>
      </c>
      <c r="E380">
        <v>24</v>
      </c>
      <c r="F380">
        <v>0</v>
      </c>
      <c r="G380">
        <v>9599</v>
      </c>
      <c r="H380">
        <v>0</v>
      </c>
      <c r="I380">
        <v>0</v>
      </c>
      <c r="J380">
        <v>0</v>
      </c>
      <c r="K380">
        <f t="shared" si="5"/>
        <v>24</v>
      </c>
      <c r="L380">
        <v>0</v>
      </c>
      <c r="M380" t="str">
        <f>IF(L380=0,"",IF(#REF!&gt;0,"CONTRATISTA",IF(#REF!&gt;0,"CLIENTE","SIN_INFO")))</f>
        <v/>
      </c>
      <c r="N380" s="4"/>
    </row>
    <row r="381" spans="1:14" hidden="1">
      <c r="A381" s="2">
        <v>46200</v>
      </c>
      <c r="B381" t="s">
        <v>40</v>
      </c>
      <c r="C381" t="s">
        <v>42</v>
      </c>
      <c r="D381" t="s">
        <v>20</v>
      </c>
      <c r="E381">
        <v>24</v>
      </c>
      <c r="F381">
        <v>0</v>
      </c>
      <c r="G381">
        <v>8738</v>
      </c>
      <c r="H381">
        <v>0</v>
      </c>
      <c r="I381">
        <v>0</v>
      </c>
      <c r="J381">
        <v>0</v>
      </c>
      <c r="K381">
        <f t="shared" si="5"/>
        <v>24</v>
      </c>
      <c r="L381">
        <v>0</v>
      </c>
      <c r="M381" t="str">
        <f>IF(L381=0,"",IF(#REF!&gt;0,"CONTRATISTA",IF(#REF!&gt;0,"CLIENTE","SIN_INFO")))</f>
        <v/>
      </c>
      <c r="N381" s="4"/>
    </row>
    <row r="382" spans="1:14" hidden="1">
      <c r="A382" s="2">
        <v>46200</v>
      </c>
      <c r="B382" t="s">
        <v>40</v>
      </c>
      <c r="C382" t="s">
        <v>41</v>
      </c>
      <c r="D382" t="s">
        <v>21</v>
      </c>
      <c r="E382">
        <v>23</v>
      </c>
      <c r="F382">
        <v>1</v>
      </c>
      <c r="G382">
        <v>8750</v>
      </c>
      <c r="H382">
        <v>0</v>
      </c>
      <c r="I382">
        <v>0</v>
      </c>
      <c r="J382">
        <v>0</v>
      </c>
      <c r="K382">
        <f t="shared" si="5"/>
        <v>24</v>
      </c>
      <c r="L382">
        <v>0</v>
      </c>
      <c r="M382" t="str">
        <f>IF(L382=0,"",IF(#REF!&gt;0,"CONTRATISTA",IF(#REF!&gt;0,"CLIENTE","SIN_INFO")))</f>
        <v/>
      </c>
      <c r="N382" s="4" t="s">
        <v>123</v>
      </c>
    </row>
    <row r="383" spans="1:14" hidden="1">
      <c r="A383" s="2">
        <v>46200</v>
      </c>
      <c r="B383" t="s">
        <v>40</v>
      </c>
      <c r="C383" t="s">
        <v>41</v>
      </c>
      <c r="D383" t="s">
        <v>22</v>
      </c>
      <c r="E383">
        <v>0</v>
      </c>
      <c r="F383">
        <v>24</v>
      </c>
      <c r="G383">
        <v>0</v>
      </c>
      <c r="H383">
        <v>0</v>
      </c>
      <c r="I383">
        <v>0</v>
      </c>
      <c r="J383">
        <v>0</v>
      </c>
      <c r="K383">
        <f t="shared" si="5"/>
        <v>24</v>
      </c>
      <c r="L383">
        <v>0</v>
      </c>
      <c r="M383" t="str">
        <f>IF(L383=0,"",IF(#REF!&gt;0,"CONTRATISTA",IF(#REF!&gt;0,"CLIENTE","SIN_INFO")))</f>
        <v/>
      </c>
      <c r="N383" s="4" t="s">
        <v>123</v>
      </c>
    </row>
    <row r="384" spans="1:14" hidden="1">
      <c r="A384" s="2">
        <v>46200</v>
      </c>
      <c r="B384" t="s">
        <v>40</v>
      </c>
      <c r="C384" t="s">
        <v>41</v>
      </c>
      <c r="D384" t="s">
        <v>23</v>
      </c>
      <c r="E384">
        <v>8</v>
      </c>
      <c r="F384">
        <v>16</v>
      </c>
      <c r="G384">
        <v>2979</v>
      </c>
      <c r="H384">
        <v>0</v>
      </c>
      <c r="I384">
        <v>0</v>
      </c>
      <c r="J384">
        <v>0</v>
      </c>
      <c r="K384">
        <f t="shared" si="5"/>
        <v>24</v>
      </c>
      <c r="L384">
        <v>0</v>
      </c>
      <c r="M384" t="str">
        <f>IF(L384=0,"",IF(#REF!&gt;0,"CONTRATISTA",IF(#REF!&gt;0,"CLIENTE","SIN_INFO")))</f>
        <v/>
      </c>
      <c r="N384" s="4" t="s">
        <v>123</v>
      </c>
    </row>
    <row r="385" spans="1:14" hidden="1">
      <c r="A385" s="2">
        <v>46201</v>
      </c>
      <c r="B385" t="s">
        <v>40</v>
      </c>
      <c r="C385" t="s">
        <v>41</v>
      </c>
      <c r="D385" t="s">
        <v>9</v>
      </c>
      <c r="E385">
        <v>23</v>
      </c>
      <c r="F385">
        <v>0</v>
      </c>
      <c r="G385">
        <v>15082</v>
      </c>
      <c r="H385">
        <v>0</v>
      </c>
      <c r="I385">
        <v>0</v>
      </c>
      <c r="J385">
        <v>1</v>
      </c>
      <c r="K385">
        <f t="shared" si="5"/>
        <v>24</v>
      </c>
      <c r="L385">
        <v>0</v>
      </c>
      <c r="M385" t="str">
        <f>IF(L385=0,"",IF(#REF!&gt;0,"CONTRATISTA",IF(#REF!&gt;0,"CLIENTE","SIN_INFO")))</f>
        <v/>
      </c>
      <c r="N385" s="4" t="s">
        <v>124</v>
      </c>
    </row>
    <row r="386" spans="1:14" hidden="1">
      <c r="A386" s="2">
        <v>46201</v>
      </c>
      <c r="B386" t="s">
        <v>40</v>
      </c>
      <c r="C386" t="s">
        <v>41</v>
      </c>
      <c r="D386" t="s">
        <v>10</v>
      </c>
      <c r="E386">
        <v>23</v>
      </c>
      <c r="F386">
        <v>0</v>
      </c>
      <c r="G386">
        <v>15072</v>
      </c>
      <c r="H386">
        <v>0</v>
      </c>
      <c r="I386">
        <v>0</v>
      </c>
      <c r="J386">
        <v>1</v>
      </c>
      <c r="K386">
        <f t="shared" si="5"/>
        <v>24</v>
      </c>
      <c r="L386">
        <v>0</v>
      </c>
      <c r="M386" t="str">
        <f>IF(L386=0,"",IF(#REF!&gt;0,"CONTRATISTA",IF(#REF!&gt;0,"CLIENTE","SIN_INFO")))</f>
        <v/>
      </c>
      <c r="N386" s="4" t="s">
        <v>125</v>
      </c>
    </row>
    <row r="387" spans="1:14" hidden="1">
      <c r="A387" s="2">
        <v>46201</v>
      </c>
      <c r="B387" t="s">
        <v>40</v>
      </c>
      <c r="C387" t="s">
        <v>41</v>
      </c>
      <c r="D387" t="s">
        <v>11</v>
      </c>
      <c r="E387">
        <v>23</v>
      </c>
      <c r="F387">
        <v>0</v>
      </c>
      <c r="G387">
        <v>15127</v>
      </c>
      <c r="H387">
        <v>0</v>
      </c>
      <c r="I387">
        <v>0</v>
      </c>
      <c r="J387">
        <v>1</v>
      </c>
      <c r="K387">
        <f t="shared" si="5"/>
        <v>24</v>
      </c>
      <c r="L387">
        <v>0</v>
      </c>
      <c r="M387" t="str">
        <f>IF(L387=0,"",IF(#REF!&gt;0,"CONTRATISTA",IF(#REF!&gt;0,"CLIENTE","SIN_INFO")))</f>
        <v/>
      </c>
      <c r="N387" s="4" t="s">
        <v>126</v>
      </c>
    </row>
    <row r="388" spans="1:14" hidden="1">
      <c r="A388" s="2">
        <v>46201</v>
      </c>
      <c r="B388" t="s">
        <v>40</v>
      </c>
      <c r="C388" t="s">
        <v>41</v>
      </c>
      <c r="D388" t="s">
        <v>12</v>
      </c>
      <c r="E388">
        <v>24</v>
      </c>
      <c r="F388">
        <v>0</v>
      </c>
      <c r="G388">
        <v>18396</v>
      </c>
      <c r="H388">
        <v>0</v>
      </c>
      <c r="I388">
        <v>0</v>
      </c>
      <c r="J388">
        <v>0</v>
      </c>
      <c r="K388">
        <f t="shared" ref="K388:K397" si="6">SUM(E388+F388+H388+I388+J388)</f>
        <v>24</v>
      </c>
      <c r="L388">
        <v>0</v>
      </c>
      <c r="M388" t="str">
        <f>IF(L388=0,"",IF(#REF!&gt;0,"CONTRATISTA",IF(#REF!&gt;0,"CLIENTE","SIN_INFO")))</f>
        <v/>
      </c>
      <c r="N388" s="4" t="s">
        <v>127</v>
      </c>
    </row>
    <row r="389" spans="1:14">
      <c r="A389" s="2">
        <v>46201</v>
      </c>
      <c r="B389" t="s">
        <v>40</v>
      </c>
      <c r="C389" t="s">
        <v>41</v>
      </c>
      <c r="D389" t="s">
        <v>13</v>
      </c>
      <c r="E389">
        <v>23</v>
      </c>
      <c r="F389">
        <v>0</v>
      </c>
      <c r="G389">
        <v>19003</v>
      </c>
      <c r="H389">
        <v>0</v>
      </c>
      <c r="I389">
        <v>1</v>
      </c>
      <c r="J389">
        <v>0</v>
      </c>
      <c r="K389">
        <f t="shared" si="6"/>
        <v>24</v>
      </c>
      <c r="L389">
        <v>1</v>
      </c>
      <c r="M389" t="e">
        <f>IF(L389=0,"",IF(#REF!&gt;0,"CONTRATISTA",IF(#REF!&gt;0,"CLIENTE","SIN_INFO")))</f>
        <v>#REF!</v>
      </c>
      <c r="N389" s="4" t="s">
        <v>128</v>
      </c>
    </row>
    <row r="390" spans="1:14">
      <c r="A390" s="2">
        <v>46201</v>
      </c>
      <c r="B390" t="s">
        <v>40</v>
      </c>
      <c r="C390" t="s">
        <v>41</v>
      </c>
      <c r="D390" t="s">
        <v>14</v>
      </c>
      <c r="E390">
        <v>23</v>
      </c>
      <c r="F390">
        <v>0</v>
      </c>
      <c r="G390">
        <v>18761</v>
      </c>
      <c r="H390">
        <v>0</v>
      </c>
      <c r="I390">
        <v>1</v>
      </c>
      <c r="J390">
        <v>0</v>
      </c>
      <c r="K390">
        <f t="shared" si="6"/>
        <v>24</v>
      </c>
      <c r="L390">
        <v>1</v>
      </c>
      <c r="M390" t="e">
        <f>IF(L390=0,"",IF(#REF!&gt;0,"CONTRATISTA",IF(#REF!&gt;0,"CLIENTE","SIN_INFO")))</f>
        <v>#REF!</v>
      </c>
      <c r="N390" s="4" t="s">
        <v>129</v>
      </c>
    </row>
    <row r="391" spans="1:14" hidden="1">
      <c r="A391" s="2">
        <v>46201</v>
      </c>
      <c r="B391" t="s">
        <v>40</v>
      </c>
      <c r="C391" t="s">
        <v>41</v>
      </c>
      <c r="D391" t="s">
        <v>15</v>
      </c>
      <c r="E391">
        <v>23</v>
      </c>
      <c r="F391">
        <v>0</v>
      </c>
      <c r="G391">
        <v>14710</v>
      </c>
      <c r="H391">
        <v>0</v>
      </c>
      <c r="I391">
        <v>0</v>
      </c>
      <c r="J391">
        <v>1</v>
      </c>
      <c r="K391">
        <f t="shared" si="6"/>
        <v>24</v>
      </c>
      <c r="L391">
        <v>0</v>
      </c>
      <c r="M391" t="str">
        <f>IF(L391=0,"",IF(#REF!&gt;0,"CONTRATISTA",IF(#REF!&gt;0,"CLIENTE","SIN_INFO")))</f>
        <v/>
      </c>
      <c r="N391" s="4" t="s">
        <v>130</v>
      </c>
    </row>
    <row r="392" spans="1:14" hidden="1">
      <c r="A392" s="2">
        <v>46201</v>
      </c>
      <c r="B392" t="s">
        <v>40</v>
      </c>
      <c r="C392" t="s">
        <v>41</v>
      </c>
      <c r="D392" t="s">
        <v>16</v>
      </c>
      <c r="E392">
        <v>0</v>
      </c>
      <c r="F392">
        <v>24</v>
      </c>
      <c r="G392">
        <v>0</v>
      </c>
      <c r="H392">
        <v>0</v>
      </c>
      <c r="I392">
        <v>0</v>
      </c>
      <c r="J392">
        <v>0</v>
      </c>
      <c r="K392">
        <f t="shared" si="6"/>
        <v>24</v>
      </c>
      <c r="L392">
        <v>0</v>
      </c>
      <c r="M392" t="str">
        <f>IF(L392=0,"",IF(#REF!&gt;0,"CONTRATISTA",IF(#REF!&gt;0,"CLIENTE","SIN_INFO")))</f>
        <v/>
      </c>
      <c r="N392" s="4" t="s">
        <v>127</v>
      </c>
    </row>
    <row r="393" spans="1:14" hidden="1">
      <c r="A393" s="2">
        <v>46201</v>
      </c>
      <c r="B393" t="s">
        <v>40</v>
      </c>
      <c r="C393" t="s">
        <v>41</v>
      </c>
      <c r="D393" t="s">
        <v>17</v>
      </c>
      <c r="E393">
        <v>1</v>
      </c>
      <c r="F393">
        <v>23</v>
      </c>
      <c r="G393">
        <v>925</v>
      </c>
      <c r="H393">
        <v>0</v>
      </c>
      <c r="I393">
        <v>0</v>
      </c>
      <c r="J393">
        <v>0</v>
      </c>
      <c r="K393">
        <f t="shared" si="6"/>
        <v>24</v>
      </c>
      <c r="L393">
        <v>0</v>
      </c>
      <c r="M393" t="str">
        <f>IF(L393=0,"",IF(#REF!&gt;0,"CONTRATISTA",IF(#REF!&gt;0,"CLIENTE","SIN_INFO")))</f>
        <v/>
      </c>
      <c r="N393" s="4" t="s">
        <v>131</v>
      </c>
    </row>
    <row r="394" spans="1:14" hidden="1">
      <c r="A394" s="2">
        <v>46201</v>
      </c>
      <c r="B394" t="s">
        <v>40</v>
      </c>
      <c r="C394" t="s">
        <v>41</v>
      </c>
      <c r="D394" t="s">
        <v>18</v>
      </c>
      <c r="E394">
        <v>1</v>
      </c>
      <c r="F394">
        <v>23</v>
      </c>
      <c r="G394">
        <v>729</v>
      </c>
      <c r="H394">
        <v>0</v>
      </c>
      <c r="I394">
        <v>0</v>
      </c>
      <c r="J394">
        <v>0</v>
      </c>
      <c r="K394">
        <f t="shared" si="6"/>
        <v>24</v>
      </c>
      <c r="L394">
        <v>0</v>
      </c>
      <c r="M394" t="str">
        <f>IF(L394=0,"",IF(#REF!&gt;0,"CONTRATISTA",IF(#REF!&gt;0,"CLIENTE","SIN_INFO")))</f>
        <v/>
      </c>
      <c r="N394" s="4" t="s">
        <v>131</v>
      </c>
    </row>
    <row r="395" spans="1:14" hidden="1">
      <c r="A395" s="2">
        <v>46201</v>
      </c>
      <c r="B395" t="s">
        <v>40</v>
      </c>
      <c r="C395" t="s">
        <v>42</v>
      </c>
      <c r="D395" t="s">
        <v>19</v>
      </c>
      <c r="E395">
        <v>24</v>
      </c>
      <c r="F395">
        <v>0</v>
      </c>
      <c r="G395">
        <v>9164</v>
      </c>
      <c r="H395">
        <v>0</v>
      </c>
      <c r="I395">
        <v>0</v>
      </c>
      <c r="J395">
        <v>0</v>
      </c>
      <c r="K395">
        <f t="shared" si="6"/>
        <v>24</v>
      </c>
      <c r="L395">
        <v>0</v>
      </c>
      <c r="M395" t="str">
        <f>IF(L395=0,"",IF(#REF!&gt;0,"CONTRATISTA",IF(#REF!&gt;0,"CLIENTE","SIN_INFO")))</f>
        <v/>
      </c>
      <c r="N395" s="4" t="s">
        <v>127</v>
      </c>
    </row>
    <row r="396" spans="1:14" hidden="1">
      <c r="A396" s="2">
        <v>46201</v>
      </c>
      <c r="B396" t="s">
        <v>40</v>
      </c>
      <c r="C396" t="s">
        <v>42</v>
      </c>
      <c r="D396" t="s">
        <v>20</v>
      </c>
      <c r="E396">
        <v>24</v>
      </c>
      <c r="F396">
        <v>0</v>
      </c>
      <c r="G396">
        <v>8404</v>
      </c>
      <c r="H396">
        <v>0</v>
      </c>
      <c r="I396">
        <v>0</v>
      </c>
      <c r="J396">
        <v>0</v>
      </c>
      <c r="K396">
        <f t="shared" si="6"/>
        <v>24</v>
      </c>
      <c r="L396">
        <v>0</v>
      </c>
      <c r="M396" t="str">
        <f>IF(L396=0,"",IF(#REF!&gt;0,"CONTRATISTA",IF(#REF!&gt;0,"CLIENTE","SIN_INFO")))</f>
        <v/>
      </c>
      <c r="N396" s="4" t="s">
        <v>127</v>
      </c>
    </row>
    <row r="397" spans="1:14" hidden="1">
      <c r="A397" s="2">
        <v>46201</v>
      </c>
      <c r="B397" t="s">
        <v>40</v>
      </c>
      <c r="C397" t="s">
        <v>41</v>
      </c>
      <c r="D397" t="s">
        <v>21</v>
      </c>
      <c r="E397">
        <v>11</v>
      </c>
      <c r="F397">
        <v>13</v>
      </c>
      <c r="G397">
        <v>4423</v>
      </c>
      <c r="H397">
        <v>0</v>
      </c>
      <c r="I397">
        <v>0</v>
      </c>
      <c r="J397">
        <v>0</v>
      </c>
      <c r="K397">
        <f t="shared" si="6"/>
        <v>24</v>
      </c>
      <c r="L397">
        <v>0</v>
      </c>
      <c r="M397" t="str">
        <f>IF(L397=0,"",IF(#REF!&gt;0,"CONTRATISTA",IF(#REF!&gt;0,"CLIENTE","SIN_INFO")))</f>
        <v/>
      </c>
      <c r="N397" s="4" t="s">
        <v>132</v>
      </c>
    </row>
    <row r="398" spans="1:14" hidden="1">
      <c r="A398" s="2">
        <v>46201</v>
      </c>
      <c r="B398" t="s">
        <v>40</v>
      </c>
      <c r="C398" t="s">
        <v>41</v>
      </c>
      <c r="D398" t="s">
        <v>22</v>
      </c>
      <c r="E398">
        <v>0</v>
      </c>
      <c r="F398">
        <v>24</v>
      </c>
      <c r="G398">
        <v>0</v>
      </c>
      <c r="H398">
        <v>0</v>
      </c>
      <c r="I398">
        <v>0</v>
      </c>
      <c r="J398">
        <v>0</v>
      </c>
      <c r="L398">
        <v>0</v>
      </c>
      <c r="M398" t="str">
        <f>IF(L398=0,"",IF(#REF!&gt;0,"CONTRATISTA",IF(#REF!&gt;0,"CLIENTE","SIN_INFO")))</f>
        <v/>
      </c>
      <c r="N398" t="s">
        <v>123</v>
      </c>
    </row>
    <row r="399" spans="1:14" hidden="1">
      <c r="A399" s="2">
        <v>46201</v>
      </c>
      <c r="B399" t="s">
        <v>40</v>
      </c>
      <c r="C399" t="s">
        <v>41</v>
      </c>
      <c r="D399" t="s">
        <v>23</v>
      </c>
      <c r="E399">
        <v>12</v>
      </c>
      <c r="F399">
        <v>12</v>
      </c>
      <c r="G399">
        <v>4230</v>
      </c>
      <c r="H399">
        <v>0</v>
      </c>
      <c r="I399">
        <v>0</v>
      </c>
      <c r="J399">
        <v>0</v>
      </c>
      <c r="L399">
        <v>0</v>
      </c>
      <c r="M399" t="str">
        <f>IF(L399=0,"",IF(#REF!&gt;0,"CONTRATISTA",IF(#REF!&gt;0,"CLIENTE","SIN_INFO")))</f>
        <v/>
      </c>
      <c r="N399" t="s">
        <v>133</v>
      </c>
    </row>
    <row r="400" spans="1:14" hidden="1">
      <c r="A400" s="2">
        <v>46202</v>
      </c>
      <c r="B400" t="s">
        <v>40</v>
      </c>
      <c r="C400" t="s">
        <v>41</v>
      </c>
      <c r="D400" t="s">
        <v>9</v>
      </c>
      <c r="E400">
        <v>24</v>
      </c>
      <c r="F400">
        <v>0</v>
      </c>
      <c r="G400">
        <v>15821</v>
      </c>
      <c r="H400">
        <v>0</v>
      </c>
      <c r="I400">
        <v>0</v>
      </c>
      <c r="J400">
        <v>0</v>
      </c>
      <c r="K400">
        <f t="shared" ref="K400" si="7">SUM(E400+F400+H400+I400+J400)</f>
        <v>24</v>
      </c>
      <c r="L400">
        <v>0</v>
      </c>
      <c r="M400" t="str">
        <f>IF(L400=0,"",IF(#REF!&gt;0,"CONTRATISTA",IF(#REF!&gt;0,"CLIENTE","SIN_INFO")))</f>
        <v/>
      </c>
    </row>
    <row r="401" spans="1:14" hidden="1">
      <c r="A401" s="2">
        <v>46202</v>
      </c>
      <c r="B401" t="s">
        <v>40</v>
      </c>
      <c r="C401" t="s">
        <v>41</v>
      </c>
      <c r="D401" t="s">
        <v>10</v>
      </c>
      <c r="E401">
        <v>24</v>
      </c>
      <c r="F401">
        <v>0</v>
      </c>
      <c r="G401">
        <v>15912</v>
      </c>
      <c r="H401">
        <v>0</v>
      </c>
      <c r="I401">
        <v>0</v>
      </c>
      <c r="J401">
        <v>0</v>
      </c>
      <c r="L401">
        <v>0</v>
      </c>
      <c r="M401" t="str">
        <f>IF(L401=0,"",IF(#REF!&gt;0,"CONTRATISTA",IF(#REF!&gt;0,"CLIENTE","SIN_INFO")))</f>
        <v/>
      </c>
    </row>
    <row r="402" spans="1:14" hidden="1">
      <c r="A402" s="2">
        <v>46202</v>
      </c>
      <c r="B402" t="s">
        <v>40</v>
      </c>
      <c r="C402" t="s">
        <v>41</v>
      </c>
      <c r="D402" t="s">
        <v>11</v>
      </c>
      <c r="E402">
        <v>24</v>
      </c>
      <c r="F402">
        <v>0</v>
      </c>
      <c r="G402">
        <v>15911</v>
      </c>
      <c r="H402">
        <v>0</v>
      </c>
      <c r="I402">
        <v>0</v>
      </c>
      <c r="J402">
        <v>0</v>
      </c>
      <c r="L402">
        <v>0</v>
      </c>
      <c r="M402" t="str">
        <f>IF(L402=0,"",IF(#REF!&gt;0,"CONTRATISTA",IF(#REF!&gt;0,"CLIENTE","SIN_INFO")))</f>
        <v/>
      </c>
    </row>
    <row r="403" spans="1:14" hidden="1">
      <c r="A403" s="2">
        <v>46202</v>
      </c>
      <c r="B403" t="s">
        <v>40</v>
      </c>
      <c r="C403" t="s">
        <v>41</v>
      </c>
      <c r="D403" t="s">
        <v>12</v>
      </c>
      <c r="E403">
        <v>24</v>
      </c>
      <c r="F403">
        <v>0</v>
      </c>
      <c r="G403">
        <v>18824</v>
      </c>
      <c r="H403">
        <v>0</v>
      </c>
      <c r="I403">
        <v>0</v>
      </c>
      <c r="J403">
        <v>0</v>
      </c>
      <c r="L403">
        <v>0</v>
      </c>
      <c r="M403" t="str">
        <f>IF(L403=0,"",IF(#REF!&gt;0,"CONTRATISTA",IF(#REF!&gt;0,"CLIENTE","SIN_INFO")))</f>
        <v/>
      </c>
    </row>
    <row r="404" spans="1:14" hidden="1">
      <c r="A404" s="2">
        <v>46202</v>
      </c>
      <c r="B404" t="s">
        <v>40</v>
      </c>
      <c r="C404" t="s">
        <v>41</v>
      </c>
      <c r="D404" t="s">
        <v>13</v>
      </c>
      <c r="E404">
        <v>24</v>
      </c>
      <c r="F404">
        <v>0</v>
      </c>
      <c r="G404">
        <v>19506</v>
      </c>
      <c r="H404">
        <v>0</v>
      </c>
      <c r="I404">
        <v>0</v>
      </c>
      <c r="J404">
        <v>0</v>
      </c>
      <c r="L404">
        <v>0</v>
      </c>
      <c r="M404" t="str">
        <f>IF(L404=0,"",IF(#REF!&gt;0,"CONTRATISTA",IF(#REF!&gt;0,"CLIENTE","SIN_INFO")))</f>
        <v/>
      </c>
    </row>
    <row r="405" spans="1:14" hidden="1">
      <c r="A405" s="2">
        <v>46202</v>
      </c>
      <c r="B405" t="s">
        <v>40</v>
      </c>
      <c r="C405" t="s">
        <v>41</v>
      </c>
      <c r="D405" t="s">
        <v>14</v>
      </c>
      <c r="E405">
        <v>24</v>
      </c>
      <c r="F405">
        <v>0</v>
      </c>
      <c r="G405">
        <v>20143</v>
      </c>
      <c r="H405">
        <v>0</v>
      </c>
      <c r="I405">
        <v>0</v>
      </c>
      <c r="J405">
        <v>0</v>
      </c>
      <c r="K405">
        <f t="shared" ref="K405" si="8">SUM(E405+F405+H405+I405+J405)</f>
        <v>24</v>
      </c>
      <c r="L405">
        <v>0</v>
      </c>
      <c r="M405" t="str">
        <f>IF(L405=0,"",IF(#REF!&gt;0,"CONTRATISTA",IF(#REF!&gt;0,"CLIENTE","SIN_INFO")))</f>
        <v/>
      </c>
    </row>
    <row r="406" spans="1:14" hidden="1">
      <c r="A406" s="2">
        <v>46202</v>
      </c>
      <c r="B406" t="s">
        <v>40</v>
      </c>
      <c r="C406" t="s">
        <v>41</v>
      </c>
      <c r="D406" t="s">
        <v>15</v>
      </c>
      <c r="E406">
        <v>24</v>
      </c>
      <c r="F406">
        <v>0</v>
      </c>
      <c r="G406">
        <v>15291</v>
      </c>
      <c r="H406">
        <v>0</v>
      </c>
      <c r="I406">
        <v>0</v>
      </c>
      <c r="J406">
        <v>0</v>
      </c>
      <c r="L406">
        <v>0</v>
      </c>
      <c r="M406" t="str">
        <f>IF(L406=0,"",IF(#REF!&gt;0,"CONTRATISTA",IF(#REF!&gt;0,"CLIENTE","SIN_INFO")))</f>
        <v/>
      </c>
    </row>
    <row r="407" spans="1:14" hidden="1">
      <c r="A407" s="2">
        <v>46202</v>
      </c>
      <c r="B407" t="s">
        <v>40</v>
      </c>
      <c r="C407" t="s">
        <v>41</v>
      </c>
      <c r="D407" t="s">
        <v>16</v>
      </c>
      <c r="E407">
        <v>0</v>
      </c>
      <c r="F407">
        <v>24</v>
      </c>
      <c r="G407">
        <v>0</v>
      </c>
      <c r="H407">
        <v>0</v>
      </c>
      <c r="I407">
        <v>0</v>
      </c>
      <c r="J407">
        <v>0</v>
      </c>
      <c r="L407">
        <v>0</v>
      </c>
      <c r="M407" t="str">
        <f>IF(L407=0,"",IF(#REF!&gt;0,"CONTRATISTA",IF(#REF!&gt;0,"CLIENTE","SIN_INFO")))</f>
        <v/>
      </c>
    </row>
    <row r="408" spans="1:14" hidden="1">
      <c r="A408" s="2">
        <v>46202</v>
      </c>
      <c r="B408" t="s">
        <v>40</v>
      </c>
      <c r="C408" t="s">
        <v>41</v>
      </c>
      <c r="D408" t="s">
        <v>17</v>
      </c>
      <c r="E408">
        <v>0</v>
      </c>
      <c r="F408">
        <v>24</v>
      </c>
      <c r="G408">
        <v>0</v>
      </c>
      <c r="H408">
        <v>0</v>
      </c>
      <c r="I408">
        <v>0</v>
      </c>
      <c r="J408">
        <v>0</v>
      </c>
      <c r="L408">
        <v>0</v>
      </c>
      <c r="M408" t="str">
        <f>IF(L408=0,"",IF(#REF!&gt;0,"CONTRATISTA",IF(#REF!&gt;0,"CLIENTE","SIN_INFO")))</f>
        <v/>
      </c>
    </row>
    <row r="409" spans="1:14" hidden="1">
      <c r="A409" s="2">
        <v>46202</v>
      </c>
      <c r="B409" t="s">
        <v>40</v>
      </c>
      <c r="C409" t="s">
        <v>41</v>
      </c>
      <c r="D409" t="s">
        <v>18</v>
      </c>
      <c r="E409">
        <v>0</v>
      </c>
      <c r="F409">
        <v>24</v>
      </c>
      <c r="G409">
        <v>0</v>
      </c>
      <c r="H409">
        <v>0</v>
      </c>
      <c r="I409">
        <v>0</v>
      </c>
      <c r="J409">
        <v>0</v>
      </c>
      <c r="L409">
        <v>0</v>
      </c>
      <c r="M409" t="str">
        <f>IF(L409=0,"",IF(#REF!&gt;0,"CONTRATISTA",IF(#REF!&gt;0,"CLIENTE","SIN_INFO")))</f>
        <v/>
      </c>
    </row>
    <row r="410" spans="1:14" hidden="1">
      <c r="A410" s="2">
        <v>46202</v>
      </c>
      <c r="B410" t="s">
        <v>40</v>
      </c>
      <c r="C410" t="s">
        <v>42</v>
      </c>
      <c r="D410" t="s">
        <v>19</v>
      </c>
      <c r="E410">
        <v>24</v>
      </c>
      <c r="F410">
        <v>0</v>
      </c>
      <c r="G410">
        <v>9409</v>
      </c>
      <c r="H410">
        <v>0</v>
      </c>
      <c r="I410">
        <v>0</v>
      </c>
      <c r="J410">
        <v>0</v>
      </c>
      <c r="L410">
        <v>0</v>
      </c>
      <c r="M410" t="str">
        <f>IF(L410=0,"",IF(#REF!&gt;0,"CONTRATISTA",IF(#REF!&gt;0,"CLIENTE","SIN_INFO")))</f>
        <v/>
      </c>
    </row>
    <row r="411" spans="1:14" hidden="1">
      <c r="A411" s="2">
        <v>46202</v>
      </c>
      <c r="B411" t="s">
        <v>40</v>
      </c>
      <c r="C411" t="s">
        <v>42</v>
      </c>
      <c r="D411" t="s">
        <v>20</v>
      </c>
      <c r="E411">
        <v>24</v>
      </c>
      <c r="F411">
        <v>0</v>
      </c>
      <c r="G411">
        <v>8692</v>
      </c>
      <c r="H411">
        <v>0</v>
      </c>
      <c r="I411">
        <v>0</v>
      </c>
      <c r="J411">
        <v>0</v>
      </c>
      <c r="L411">
        <v>0</v>
      </c>
      <c r="M411" t="str">
        <f>IF(L411=0,"",IF(#REF!&gt;0,"CONTRATISTA",IF(#REF!&gt;0,"CLIENTE","SIN_INFO")))</f>
        <v/>
      </c>
    </row>
    <row r="412" spans="1:14" hidden="1">
      <c r="A412" s="2">
        <v>46202</v>
      </c>
      <c r="B412" t="s">
        <v>40</v>
      </c>
      <c r="C412" t="s">
        <v>41</v>
      </c>
      <c r="D412" t="s">
        <v>21</v>
      </c>
      <c r="E412">
        <v>12</v>
      </c>
      <c r="F412">
        <v>12</v>
      </c>
      <c r="G412">
        <v>4257</v>
      </c>
      <c r="H412">
        <v>0</v>
      </c>
      <c r="I412">
        <v>0</v>
      </c>
      <c r="J412">
        <v>0</v>
      </c>
      <c r="L412">
        <v>0</v>
      </c>
      <c r="M412" t="str">
        <f>IF(L412=0,"",IF(#REF!&gt;0,"CONTRATISTA",IF(#REF!&gt;0,"CLIENTE","SIN_INFO")))</f>
        <v/>
      </c>
      <c r="N412" t="s">
        <v>134</v>
      </c>
    </row>
    <row r="413" spans="1:14" hidden="1">
      <c r="A413" s="2">
        <v>46202</v>
      </c>
      <c r="B413" t="s">
        <v>40</v>
      </c>
      <c r="C413" t="s">
        <v>41</v>
      </c>
      <c r="D413" t="s">
        <v>22</v>
      </c>
      <c r="E413">
        <v>0</v>
      </c>
      <c r="F413">
        <v>24</v>
      </c>
      <c r="G413">
        <v>0</v>
      </c>
      <c r="H413">
        <v>0</v>
      </c>
      <c r="I413">
        <v>0</v>
      </c>
      <c r="J413">
        <v>0</v>
      </c>
      <c r="L413">
        <v>0</v>
      </c>
      <c r="M413" t="str">
        <f>IF(L413=0,"",IF(#REF!&gt;0,"CONTRATISTA",IF(#REF!&gt;0,"CLIENTE","SIN_INFO")))</f>
        <v/>
      </c>
      <c r="N413" t="s">
        <v>123</v>
      </c>
    </row>
    <row r="414" spans="1:14" hidden="1">
      <c r="A414" s="2">
        <v>46202</v>
      </c>
      <c r="B414" t="s">
        <v>40</v>
      </c>
      <c r="C414" t="s">
        <v>41</v>
      </c>
      <c r="D414" t="s">
        <v>23</v>
      </c>
      <c r="E414">
        <v>14</v>
      </c>
      <c r="F414">
        <v>10</v>
      </c>
      <c r="G414">
        <v>5447</v>
      </c>
      <c r="H414">
        <v>0</v>
      </c>
      <c r="I414">
        <v>0</v>
      </c>
      <c r="J414">
        <v>0</v>
      </c>
      <c r="L414">
        <v>0</v>
      </c>
      <c r="M414" t="str">
        <f>IF(L414=0,"",IF(#REF!&gt;0,"CONTRATISTA",IF(#REF!&gt;0,"CLIENTE","SIN_INFO")))</f>
        <v/>
      </c>
      <c r="N414" t="s">
        <v>135</v>
      </c>
    </row>
    <row r="415" spans="1:14" hidden="1">
      <c r="A415" s="2">
        <v>46203</v>
      </c>
      <c r="B415" t="s">
        <v>40</v>
      </c>
      <c r="C415" t="s">
        <v>41</v>
      </c>
      <c r="D415" t="s">
        <v>9</v>
      </c>
      <c r="E415">
        <v>20</v>
      </c>
      <c r="F415">
        <v>4</v>
      </c>
      <c r="G415">
        <v>12484</v>
      </c>
      <c r="H415">
        <v>0</v>
      </c>
      <c r="I415">
        <v>0</v>
      </c>
      <c r="J415">
        <v>0</v>
      </c>
      <c r="K415">
        <f t="shared" ref="K415" si="9">SUM(E415+F415+H415+I415+J415)</f>
        <v>24</v>
      </c>
      <c r="L415">
        <v>0</v>
      </c>
      <c r="M415" t="str">
        <f>IF(L415=0,"",IF(#REF!&gt;0,"CONTRATISTA",IF(#REF!&gt;0,"CLIENTE","SIN_INFO")))</f>
        <v/>
      </c>
      <c r="N415" t="s">
        <v>136</v>
      </c>
    </row>
    <row r="416" spans="1:14" hidden="1">
      <c r="A416" s="2">
        <v>46203</v>
      </c>
      <c r="B416" t="s">
        <v>40</v>
      </c>
      <c r="C416" t="s">
        <v>41</v>
      </c>
      <c r="D416" t="s">
        <v>10</v>
      </c>
      <c r="E416">
        <v>19</v>
      </c>
      <c r="F416">
        <v>5</v>
      </c>
      <c r="G416">
        <v>11876</v>
      </c>
      <c r="H416">
        <v>0</v>
      </c>
      <c r="I416">
        <v>0</v>
      </c>
      <c r="J416">
        <v>0</v>
      </c>
      <c r="L416">
        <v>0</v>
      </c>
      <c r="M416" t="str">
        <f>IF(L416=0,"",IF(#REF!&gt;0,"CONTRATISTA",IF(#REF!&gt;0,"CLIENTE","SIN_INFO")))</f>
        <v/>
      </c>
      <c r="N416" t="s">
        <v>136</v>
      </c>
    </row>
    <row r="417" spans="1:14" hidden="1">
      <c r="A417" s="2">
        <v>46203</v>
      </c>
      <c r="B417" t="s">
        <v>40</v>
      </c>
      <c r="C417" t="s">
        <v>41</v>
      </c>
      <c r="D417" t="s">
        <v>11</v>
      </c>
      <c r="E417">
        <v>19</v>
      </c>
      <c r="F417">
        <v>5</v>
      </c>
      <c r="G417">
        <v>12269</v>
      </c>
      <c r="H417">
        <v>0</v>
      </c>
      <c r="I417">
        <v>0</v>
      </c>
      <c r="J417">
        <v>0</v>
      </c>
      <c r="L417">
        <v>0</v>
      </c>
      <c r="M417" t="str">
        <f>IF(L417=0,"",IF(#REF!&gt;0,"CONTRATISTA",IF(#REF!&gt;0,"CLIENTE","SIN_INFO")))</f>
        <v/>
      </c>
      <c r="N417" t="s">
        <v>136</v>
      </c>
    </row>
    <row r="418" spans="1:14" hidden="1">
      <c r="A418" s="2">
        <v>46203</v>
      </c>
      <c r="B418" t="s">
        <v>40</v>
      </c>
      <c r="C418" t="s">
        <v>41</v>
      </c>
      <c r="D418" t="s">
        <v>12</v>
      </c>
      <c r="E418">
        <v>24</v>
      </c>
      <c r="F418">
        <v>0</v>
      </c>
      <c r="G418">
        <v>19476</v>
      </c>
      <c r="H418">
        <v>0</v>
      </c>
      <c r="I418">
        <v>0</v>
      </c>
      <c r="J418">
        <v>0</v>
      </c>
      <c r="L418">
        <v>0</v>
      </c>
      <c r="M418" t="str">
        <f>IF(L418=0,"",IF(#REF!&gt;0,"CONTRATISTA",IF(#REF!&gt;0,"CLIENTE","SIN_INFO")))</f>
        <v/>
      </c>
      <c r="N418" t="s">
        <v>127</v>
      </c>
    </row>
    <row r="419" spans="1:14" hidden="1">
      <c r="A419" s="2">
        <v>46203</v>
      </c>
      <c r="B419" t="s">
        <v>40</v>
      </c>
      <c r="C419" t="s">
        <v>41</v>
      </c>
      <c r="D419" t="s">
        <v>13</v>
      </c>
      <c r="E419">
        <v>23</v>
      </c>
      <c r="F419">
        <v>1</v>
      </c>
      <c r="G419">
        <v>19132</v>
      </c>
      <c r="H419">
        <v>0</v>
      </c>
      <c r="I419">
        <v>0</v>
      </c>
      <c r="J419">
        <v>0</v>
      </c>
      <c r="L419">
        <v>0</v>
      </c>
      <c r="M419" t="str">
        <f>IF(L419=0,"",IF(#REF!&gt;0,"CONTRATISTA",IF(#REF!&gt;0,"CLIENTE","SIN_INFO")))</f>
        <v/>
      </c>
      <c r="N419" t="s">
        <v>137</v>
      </c>
    </row>
    <row r="420" spans="1:14" hidden="1">
      <c r="A420" s="2">
        <v>46203</v>
      </c>
      <c r="B420" t="s">
        <v>40</v>
      </c>
      <c r="C420" t="s">
        <v>41</v>
      </c>
      <c r="D420" t="s">
        <v>14</v>
      </c>
      <c r="E420">
        <v>24</v>
      </c>
      <c r="F420">
        <v>0</v>
      </c>
      <c r="G420">
        <v>20181</v>
      </c>
      <c r="H420">
        <v>0</v>
      </c>
      <c r="I420">
        <v>0</v>
      </c>
      <c r="J420">
        <v>0</v>
      </c>
      <c r="K420">
        <f t="shared" ref="K420" si="10">SUM(E420+F420+H420+I420+J420)</f>
        <v>24</v>
      </c>
      <c r="L420">
        <v>0</v>
      </c>
      <c r="M420" t="str">
        <f>IF(L420=0,"",IF(#REF!&gt;0,"CONTRATISTA",IF(#REF!&gt;0,"CLIENTE","SIN_INFO")))</f>
        <v/>
      </c>
      <c r="N420" t="s">
        <v>127</v>
      </c>
    </row>
    <row r="421" spans="1:14" hidden="1">
      <c r="A421" s="2">
        <v>46203</v>
      </c>
      <c r="B421" t="s">
        <v>40</v>
      </c>
      <c r="C421" t="s">
        <v>41</v>
      </c>
      <c r="D421" t="s">
        <v>15</v>
      </c>
      <c r="E421">
        <v>19</v>
      </c>
      <c r="F421">
        <v>5</v>
      </c>
      <c r="G421">
        <v>11974</v>
      </c>
      <c r="H421">
        <v>0</v>
      </c>
      <c r="I421">
        <v>0</v>
      </c>
      <c r="J421">
        <v>0</v>
      </c>
      <c r="L421">
        <v>0</v>
      </c>
      <c r="M421" t="str">
        <f>IF(L421=0,"",IF(#REF!&gt;0,"CONTRATISTA",IF(#REF!&gt;0,"CLIENTE","SIN_INFO")))</f>
        <v/>
      </c>
      <c r="N421" t="s">
        <v>136</v>
      </c>
    </row>
    <row r="422" spans="1:14" hidden="1">
      <c r="A422" s="2">
        <v>46203</v>
      </c>
      <c r="B422" t="s">
        <v>40</v>
      </c>
      <c r="C422" t="s">
        <v>41</v>
      </c>
      <c r="D422" t="s">
        <v>16</v>
      </c>
      <c r="E422">
        <v>0</v>
      </c>
      <c r="F422">
        <v>24</v>
      </c>
      <c r="G422">
        <v>0</v>
      </c>
      <c r="H422">
        <v>0</v>
      </c>
      <c r="I422">
        <v>0</v>
      </c>
      <c r="J422">
        <v>0</v>
      </c>
      <c r="L422">
        <v>0</v>
      </c>
      <c r="M422" t="str">
        <f>IF(L422=0,"",IF(#REF!&gt;0,"CONTRATISTA",IF(#REF!&gt;0,"CLIENTE","SIN_INFO")))</f>
        <v/>
      </c>
      <c r="N422" t="s">
        <v>127</v>
      </c>
    </row>
    <row r="423" spans="1:14" hidden="1">
      <c r="A423" s="2">
        <v>46203</v>
      </c>
      <c r="B423" t="s">
        <v>40</v>
      </c>
      <c r="C423" t="s">
        <v>41</v>
      </c>
      <c r="D423" t="s">
        <v>17</v>
      </c>
      <c r="E423">
        <v>0</v>
      </c>
      <c r="F423">
        <v>24</v>
      </c>
      <c r="G423">
        <v>0</v>
      </c>
      <c r="H423">
        <v>0</v>
      </c>
      <c r="I423">
        <v>0</v>
      </c>
      <c r="J423">
        <v>0</v>
      </c>
      <c r="L423">
        <v>0</v>
      </c>
      <c r="M423" t="str">
        <f>IF(L423=0,"",IF(#REF!&gt;0,"CONTRATISTA",IF(#REF!&gt;0,"CLIENTE","SIN_INFO")))</f>
        <v/>
      </c>
      <c r="N423" t="s">
        <v>127</v>
      </c>
    </row>
    <row r="424" spans="1:14" hidden="1">
      <c r="A424" s="2">
        <v>46203</v>
      </c>
      <c r="B424" t="s">
        <v>40</v>
      </c>
      <c r="C424" t="s">
        <v>41</v>
      </c>
      <c r="D424" t="s">
        <v>18</v>
      </c>
      <c r="E424">
        <v>0</v>
      </c>
      <c r="F424">
        <v>24</v>
      </c>
      <c r="G424">
        <v>0</v>
      </c>
      <c r="H424">
        <v>0</v>
      </c>
      <c r="I424">
        <v>0</v>
      </c>
      <c r="J424">
        <v>0</v>
      </c>
      <c r="L424">
        <v>0</v>
      </c>
      <c r="M424" t="str">
        <f>IF(L424=0,"",IF(#REF!&gt;0,"CONTRATISTA",IF(#REF!&gt;0,"CLIENTE","SIN_INFO")))</f>
        <v/>
      </c>
      <c r="N424" t="s">
        <v>127</v>
      </c>
    </row>
    <row r="425" spans="1:14" hidden="1">
      <c r="A425" s="2">
        <v>46203</v>
      </c>
      <c r="B425" t="s">
        <v>40</v>
      </c>
      <c r="C425" t="s">
        <v>42</v>
      </c>
      <c r="D425" t="s">
        <v>19</v>
      </c>
      <c r="E425">
        <v>24</v>
      </c>
      <c r="F425">
        <v>0</v>
      </c>
      <c r="G425">
        <v>9160</v>
      </c>
      <c r="H425">
        <v>0</v>
      </c>
      <c r="I425">
        <v>0</v>
      </c>
      <c r="J425">
        <v>0</v>
      </c>
      <c r="L425">
        <v>0</v>
      </c>
      <c r="M425" t="str">
        <f>IF(L425=0,"",IF(#REF!&gt;0,"CONTRATISTA",IF(#REF!&gt;0,"CLIENTE","SIN_INFO")))</f>
        <v/>
      </c>
      <c r="N425" t="s">
        <v>127</v>
      </c>
    </row>
    <row r="426" spans="1:14" hidden="1">
      <c r="A426" s="2">
        <v>46203</v>
      </c>
      <c r="B426" t="s">
        <v>40</v>
      </c>
      <c r="C426" t="s">
        <v>42</v>
      </c>
      <c r="D426" t="s">
        <v>20</v>
      </c>
      <c r="E426">
        <v>24</v>
      </c>
      <c r="F426">
        <v>0</v>
      </c>
      <c r="G426">
        <v>8411</v>
      </c>
      <c r="H426">
        <v>0</v>
      </c>
      <c r="I426">
        <v>0</v>
      </c>
      <c r="J426">
        <v>0</v>
      </c>
      <c r="L426">
        <v>0</v>
      </c>
      <c r="M426" t="str">
        <f>IF(L426=0,"",IF(#REF!&gt;0,"CONTRATISTA",IF(#REF!&gt;0,"CLIENTE","SIN_INFO")))</f>
        <v/>
      </c>
      <c r="N426" t="s">
        <v>127</v>
      </c>
    </row>
    <row r="427" spans="1:14" hidden="1">
      <c r="A427" s="2">
        <v>46203</v>
      </c>
      <c r="B427" t="s">
        <v>40</v>
      </c>
      <c r="C427" t="s">
        <v>41</v>
      </c>
      <c r="D427" t="s">
        <v>21</v>
      </c>
      <c r="E427">
        <v>24</v>
      </c>
      <c r="F427">
        <v>0</v>
      </c>
      <c r="G427">
        <v>8826</v>
      </c>
      <c r="H427">
        <v>0</v>
      </c>
      <c r="I427">
        <v>0</v>
      </c>
      <c r="J427">
        <v>0</v>
      </c>
      <c r="L427">
        <v>0</v>
      </c>
      <c r="M427" t="str">
        <f>IF(L427=0,"",IF(#REF!&gt;0,"CONTRATISTA",IF(#REF!&gt;0,"CLIENTE","SIN_INFO")))</f>
        <v/>
      </c>
      <c r="N427" t="s">
        <v>127</v>
      </c>
    </row>
    <row r="428" spans="1:14" hidden="1">
      <c r="A428" s="2">
        <v>46203</v>
      </c>
      <c r="B428" t="s">
        <v>40</v>
      </c>
      <c r="C428" t="s">
        <v>41</v>
      </c>
      <c r="D428" t="s">
        <v>22</v>
      </c>
      <c r="E428">
        <v>14</v>
      </c>
      <c r="F428">
        <v>10</v>
      </c>
      <c r="G428">
        <v>5006</v>
      </c>
      <c r="H428">
        <v>0</v>
      </c>
      <c r="I428">
        <v>0</v>
      </c>
      <c r="J428">
        <v>0</v>
      </c>
      <c r="L428">
        <v>0</v>
      </c>
      <c r="M428" t="str">
        <f>IF(L428=0,"",IF(#REF!&gt;0,"CONTRATISTA",IF(#REF!&gt;0,"CLIENTE","SIN_INFO")))</f>
        <v/>
      </c>
      <c r="N428" t="s">
        <v>138</v>
      </c>
    </row>
    <row r="429" spans="1:14" hidden="1">
      <c r="A429" s="2">
        <v>46203</v>
      </c>
      <c r="B429" t="s">
        <v>40</v>
      </c>
      <c r="C429" t="s">
        <v>41</v>
      </c>
      <c r="D429" t="s">
        <v>23</v>
      </c>
      <c r="E429">
        <v>4</v>
      </c>
      <c r="F429">
        <v>20</v>
      </c>
      <c r="G429">
        <v>1403</v>
      </c>
      <c r="H429">
        <v>0</v>
      </c>
      <c r="I429">
        <v>0</v>
      </c>
      <c r="J429">
        <v>0</v>
      </c>
      <c r="L429">
        <v>0</v>
      </c>
      <c r="M429" t="str">
        <f>IF(L429=0,"",IF(#REF!&gt;0,"CONTRATISTA",IF(#REF!&gt;0,"CLIENTE","SIN_INFO")))</f>
        <v/>
      </c>
      <c r="N429" t="s">
        <v>139</v>
      </c>
    </row>
  </sheetData>
  <autoFilter ref="A1:N429" xr:uid="{6BE37EB3-11CB-4AF3-AACA-67A52FD58E80}">
    <filterColumn colId="11">
      <filters>
        <filter val="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Villamizar</dc:creator>
  <cp:keywords/>
  <dc:description/>
  <cp:lastModifiedBy>Ingeniero Confiabilidad</cp:lastModifiedBy>
  <cp:revision/>
  <dcterms:created xsi:type="dcterms:W3CDTF">2026-07-11T17:03:39Z</dcterms:created>
  <dcterms:modified xsi:type="dcterms:W3CDTF">2026-07-18T20:39:18Z</dcterms:modified>
  <cp:category/>
  <cp:contentStatus/>
</cp:coreProperties>
</file>