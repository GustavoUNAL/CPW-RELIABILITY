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powercomco-my.sharepoint.com/personal/tec_op_copower_com_co/Documents/O&amp;M COLOMBIA/07.- Mantenimiento/6.- Planificacion mensual de mantenimientos/Sabana de mantenimientos/"/>
    </mc:Choice>
  </mc:AlternateContent>
  <xr:revisionPtr revIDLastSave="0" documentId="8_{4C4BA92F-D0EA-4CC2-80D7-96573CA836C4}" xr6:coauthVersionLast="47" xr6:coauthVersionMax="47" xr10:uidLastSave="{00000000-0000-0000-0000-000000000000}"/>
  <bookViews>
    <workbookView xWindow="-108" yWindow="-108" windowWidth="23256" windowHeight="13896" xr2:uid="{EF0A7D2E-C30F-4490-BFDA-A1F5948DEE05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34" i="1" l="1"/>
  <c r="M34" i="1"/>
  <c r="I34" i="1"/>
  <c r="G34" i="1"/>
  <c r="E34" i="1"/>
  <c r="BF34" i="1" s="1"/>
  <c r="D34" i="1"/>
  <c r="I33" i="1"/>
  <c r="G33" i="1"/>
  <c r="BF33" i="1" s="1"/>
  <c r="D33" i="1"/>
  <c r="Y32" i="1"/>
  <c r="M32" i="1"/>
  <c r="I32" i="1"/>
  <c r="G32" i="1"/>
  <c r="E32" i="1"/>
  <c r="BF32" i="1" s="1"/>
  <c r="D32" i="1"/>
  <c r="Y31" i="1"/>
  <c r="M31" i="1"/>
  <c r="I31" i="1"/>
  <c r="G31" i="1"/>
  <c r="E31" i="1"/>
  <c r="BF31" i="1" s="1"/>
  <c r="D31" i="1"/>
  <c r="Y30" i="1"/>
  <c r="M30" i="1"/>
  <c r="I30" i="1"/>
  <c r="E30" i="1"/>
  <c r="BF30" i="1" s="1"/>
  <c r="D30" i="1"/>
  <c r="Y29" i="1"/>
  <c r="M29" i="1"/>
  <c r="I29" i="1"/>
  <c r="G29" i="1"/>
  <c r="E29" i="1"/>
  <c r="BF29" i="1" s="1"/>
  <c r="D29" i="1"/>
  <c r="BF28" i="1"/>
  <c r="Y28" i="1"/>
  <c r="M28" i="1"/>
  <c r="G28" i="1"/>
  <c r="E28" i="1"/>
  <c r="D28" i="1"/>
  <c r="M27" i="1"/>
  <c r="I27" i="1"/>
  <c r="G27" i="1"/>
  <c r="E27" i="1"/>
  <c r="BF27" i="1" s="1"/>
  <c r="D27" i="1"/>
  <c r="Y26" i="1"/>
  <c r="M26" i="1"/>
  <c r="I26" i="1"/>
  <c r="G26" i="1"/>
  <c r="E26" i="1"/>
  <c r="BF26" i="1" s="1"/>
  <c r="D26" i="1"/>
  <c r="Y25" i="1"/>
  <c r="M25" i="1"/>
  <c r="I25" i="1"/>
  <c r="G25" i="1"/>
  <c r="E25" i="1"/>
  <c r="BF25" i="1" s="1"/>
  <c r="D25" i="1"/>
  <c r="Y24" i="1"/>
  <c r="M24" i="1"/>
  <c r="I24" i="1"/>
  <c r="G24" i="1"/>
  <c r="E24" i="1"/>
  <c r="BF24" i="1" s="1"/>
  <c r="D24" i="1"/>
  <c r="Y23" i="1"/>
  <c r="M23" i="1"/>
  <c r="I23" i="1"/>
  <c r="G23" i="1"/>
  <c r="E23" i="1"/>
  <c r="BF23" i="1" s="1"/>
  <c r="D23" i="1"/>
  <c r="Y22" i="1"/>
  <c r="I22" i="1"/>
  <c r="G22" i="1"/>
  <c r="E22" i="1"/>
  <c r="BF22" i="1" s="1"/>
  <c r="D22" i="1"/>
  <c r="Y21" i="1"/>
  <c r="I21" i="1"/>
  <c r="G21" i="1"/>
  <c r="E21" i="1"/>
  <c r="BF21" i="1" s="1"/>
  <c r="D21" i="1"/>
  <c r="Y20" i="1"/>
  <c r="M20" i="1"/>
  <c r="I20" i="1"/>
  <c r="G20" i="1"/>
  <c r="E20" i="1"/>
  <c r="BF20" i="1" s="1"/>
  <c r="D20" i="1"/>
  <c r="Y19" i="1"/>
  <c r="M19" i="1"/>
  <c r="I19" i="1"/>
  <c r="G19" i="1"/>
  <c r="E19" i="1"/>
  <c r="BF19" i="1" s="1"/>
  <c r="D19" i="1"/>
  <c r="M18" i="1"/>
  <c r="I18" i="1"/>
  <c r="G18" i="1"/>
  <c r="E18" i="1"/>
  <c r="BF18" i="1" s="1"/>
  <c r="D18" i="1"/>
  <c r="Y17" i="1"/>
  <c r="M17" i="1"/>
  <c r="E17" i="1"/>
  <c r="BF17" i="1" s="1"/>
  <c r="D17" i="1"/>
  <c r="Y16" i="1"/>
  <c r="M16" i="1"/>
  <c r="G16" i="1"/>
  <c r="E16" i="1"/>
  <c r="BF16" i="1" s="1"/>
  <c r="D16" i="1"/>
  <c r="Y15" i="1"/>
  <c r="M15" i="1"/>
  <c r="G15" i="1"/>
  <c r="E15" i="1"/>
  <c r="BF15" i="1" s="1"/>
  <c r="D15" i="1"/>
  <c r="Y14" i="1"/>
  <c r="M14" i="1"/>
  <c r="I14" i="1"/>
  <c r="G14" i="1"/>
  <c r="BF14" i="1" s="1"/>
  <c r="D14" i="1"/>
  <c r="Y13" i="1"/>
  <c r="M13" i="1"/>
  <c r="I13" i="1"/>
  <c r="G13" i="1"/>
  <c r="BF13" i="1" s="1"/>
  <c r="D13" i="1"/>
  <c r="Y12" i="1"/>
  <c r="M12" i="1"/>
  <c r="I12" i="1"/>
  <c r="G12" i="1"/>
  <c r="E12" i="1"/>
  <c r="BF12" i="1" s="1"/>
  <c r="D12" i="1"/>
  <c r="Y11" i="1"/>
  <c r="M11" i="1"/>
  <c r="I11" i="1"/>
  <c r="E11" i="1"/>
  <c r="BF11" i="1" s="1"/>
  <c r="D11" i="1"/>
  <c r="Y10" i="1"/>
  <c r="M10" i="1"/>
  <c r="I10" i="1"/>
  <c r="E10" i="1"/>
  <c r="BF10" i="1" s="1"/>
  <c r="D10" i="1"/>
  <c r="Y9" i="1"/>
  <c r="M9" i="1"/>
  <c r="I9" i="1"/>
  <c r="G9" i="1"/>
  <c r="E9" i="1"/>
  <c r="BF9" i="1" s="1"/>
  <c r="D9" i="1"/>
  <c r="Y8" i="1"/>
  <c r="M8" i="1"/>
  <c r="I8" i="1"/>
  <c r="G8" i="1"/>
  <c r="E8" i="1"/>
  <c r="BF8" i="1" s="1"/>
  <c r="D8" i="1"/>
  <c r="Y7" i="1"/>
  <c r="M7" i="1"/>
  <c r="I7" i="1"/>
  <c r="G7" i="1"/>
  <c r="E7" i="1"/>
  <c r="BF7" i="1" s="1"/>
  <c r="D7" i="1"/>
  <c r="Y6" i="1"/>
  <c r="M6" i="1"/>
  <c r="I6" i="1"/>
  <c r="G6" i="1"/>
  <c r="E6" i="1"/>
  <c r="BF6" i="1" s="1"/>
  <c r="D6" i="1"/>
  <c r="Y5" i="1"/>
  <c r="M5" i="1"/>
  <c r="I5" i="1"/>
  <c r="G5" i="1"/>
  <c r="E5" i="1"/>
  <c r="BF5" i="1" s="1"/>
  <c r="BI5" i="1" s="1"/>
  <c r="D5" i="1"/>
  <c r="Y4" i="1"/>
  <c r="M4" i="1"/>
  <c r="I4" i="1"/>
  <c r="G4" i="1"/>
  <c r="E4" i="1"/>
  <c r="BF4" i="1" s="1"/>
  <c r="D4" i="1"/>
  <c r="BG34" i="1" l="1"/>
  <c r="BI34" i="1"/>
  <c r="BG33" i="1"/>
  <c r="BI33" i="1"/>
  <c r="BG32" i="1"/>
  <c r="BI32" i="1"/>
  <c r="BG31" i="1"/>
  <c r="BI31" i="1"/>
  <c r="BG30" i="1"/>
  <c r="BI30" i="1"/>
  <c r="BG29" i="1"/>
  <c r="BI29" i="1"/>
  <c r="BI28" i="1"/>
  <c r="BG28" i="1"/>
  <c r="BG27" i="1"/>
  <c r="BI27" i="1"/>
  <c r="BG26" i="1"/>
  <c r="BI26" i="1"/>
  <c r="BG25" i="1"/>
  <c r="BI25" i="1"/>
  <c r="BG24" i="1"/>
  <c r="BI24" i="1"/>
  <c r="BG23" i="1"/>
  <c r="BI23" i="1"/>
  <c r="BG22" i="1"/>
  <c r="BI22" i="1"/>
  <c r="BG21" i="1"/>
  <c r="BI21" i="1"/>
  <c r="BG20" i="1"/>
  <c r="BI20" i="1"/>
  <c r="BG19" i="1"/>
  <c r="BI19" i="1"/>
  <c r="BG18" i="1"/>
  <c r="BI18" i="1"/>
  <c r="BG17" i="1"/>
  <c r="BI17" i="1"/>
  <c r="BG16" i="1"/>
  <c r="BI16" i="1"/>
  <c r="BG15" i="1"/>
  <c r="BI15" i="1"/>
  <c r="BG14" i="1"/>
  <c r="BI14" i="1"/>
  <c r="BG13" i="1"/>
  <c r="BI13" i="1"/>
  <c r="BG12" i="1"/>
  <c r="BI12" i="1"/>
  <c r="BG11" i="1"/>
  <c r="BI11" i="1"/>
  <c r="BG10" i="1"/>
  <c r="BI10" i="1"/>
  <c r="BI9" i="1"/>
  <c r="BG9" i="1"/>
  <c r="BG8" i="1"/>
  <c r="BI8" i="1"/>
  <c r="BI7" i="1"/>
  <c r="BG7" i="1"/>
  <c r="BG6" i="1"/>
  <c r="BI6" i="1"/>
  <c r="BI4" i="1"/>
  <c r="BG4" i="1"/>
</calcChain>
</file>

<file path=xl/sharedStrings.xml><?xml version="1.0" encoding="utf-8"?>
<sst xmlns="http://schemas.openxmlformats.org/spreadsheetml/2006/main" count="157" uniqueCount="80">
  <si>
    <t xml:space="preserve">SÁBANA DE MANTENIMIENTOS  GENERACION PUTUMAYO </t>
  </si>
  <si>
    <t xml:space="preserve">RESÚMEN MENSUAL </t>
  </si>
  <si>
    <t>AUTOMATIZACIÓN DE PROGRAMACIÓN POR PERIODICIDAD</t>
  </si>
  <si>
    <t xml:space="preserve">CALENDARIO
FECHA PROGRAMADA </t>
  </si>
  <si>
    <t>TOTAL  H/H DIA</t>
  </si>
  <si>
    <t>J320 - CPW02</t>
  </si>
  <si>
    <t>J320 - CPW01</t>
  </si>
  <si>
    <t>J320 - CPW03</t>
  </si>
  <si>
    <t>J420 - CPW04</t>
  </si>
  <si>
    <t>J420 - CPW05</t>
  </si>
  <si>
    <t>J420 - CPW06</t>
  </si>
  <si>
    <t>J320 - CPW07</t>
  </si>
  <si>
    <t>600GFT - CPW 10</t>
  </si>
  <si>
    <t>600GFT - CPW 11</t>
  </si>
  <si>
    <t>600GFT - CPW 12</t>
  </si>
  <si>
    <t>600GFT - JINAN 01</t>
  </si>
  <si>
    <t>600GFT - JINAN 02</t>
  </si>
  <si>
    <t xml:space="preserve">KTA 19 </t>
  </si>
  <si>
    <t>KTA 19</t>
  </si>
  <si>
    <t>KTA 38</t>
  </si>
  <si>
    <t>SWG</t>
  </si>
  <si>
    <t>FILTRO COALESCENTE MQT</t>
  </si>
  <si>
    <t>FILTRO COALESCENTE MRU</t>
  </si>
  <si>
    <t xml:space="preserve">FILTRO COALESCENTE COSTAYACO SIN TRATAR </t>
  </si>
  <si>
    <t>CONTROL DE EJECUCIÓN</t>
  </si>
  <si>
    <t>Capture horómetros, revise RESULTADO y ejecute la macro RegistrarMtoPorPeriodicidad para registrar automáticamente en la sábana principal.</t>
  </si>
  <si>
    <t>DIA</t>
  </si>
  <si>
    <t xml:space="preserve">CPW02
</t>
  </si>
  <si>
    <t>H/H</t>
  </si>
  <si>
    <t>CPW01</t>
  </si>
  <si>
    <t>CPW03</t>
  </si>
  <si>
    <t xml:space="preserve">CPW04
</t>
  </si>
  <si>
    <t>CPW05</t>
  </si>
  <si>
    <t>CPW06</t>
  </si>
  <si>
    <t>CPW07</t>
  </si>
  <si>
    <t>CPW 10</t>
  </si>
  <si>
    <t>CPW11</t>
  </si>
  <si>
    <t>CPW12</t>
  </si>
  <si>
    <t>JINAN 01</t>
  </si>
  <si>
    <t>JINAN 02</t>
  </si>
  <si>
    <t>JINAN 03/JN 10</t>
  </si>
  <si>
    <t>G 102 I</t>
  </si>
  <si>
    <t>G 102 E</t>
  </si>
  <si>
    <t>G 102 A</t>
  </si>
  <si>
    <t>G 101 V</t>
  </si>
  <si>
    <t>G102 J</t>
  </si>
  <si>
    <t>G102K</t>
  </si>
  <si>
    <t>HH</t>
  </si>
  <si>
    <t>MQT</t>
  </si>
  <si>
    <t>MRU</t>
  </si>
  <si>
    <t>CYC</t>
  </si>
  <si>
    <t>MES</t>
  </si>
  <si>
    <t>TOTAL HORAS MTO</t>
  </si>
  <si>
    <t>TOTAL HORAS HOMBRE</t>
  </si>
  <si>
    <t>MTO PROGRAMADO</t>
  </si>
  <si>
    <t>EQUIPOS PROGRAMADOS</t>
  </si>
  <si>
    <t>MTO EJECUTADO</t>
  </si>
  <si>
    <t>ESTADO</t>
  </si>
  <si>
    <t>FECHA EJECUCIÓN</t>
  </si>
  <si>
    <t>OBSERVACIONES</t>
  </si>
  <si>
    <t>JULIO</t>
  </si>
  <si>
    <t/>
  </si>
  <si>
    <t>Sí</t>
  </si>
  <si>
    <t>1-07-2026
5/07/2026</t>
  </si>
  <si>
    <t>SE EJECUTA MANTENIMIENTO M0
SE EJECUTA MANTENIMIENTO M2(JINAN 02 SE APLAZA POR CIERRE DE VIA VUELTA CICLÍSTICA Y SE EJECUTA EL DOMINGO)</t>
  </si>
  <si>
    <t>No</t>
  </si>
  <si>
    <t>NO CUMPLE HORAS DE MANTENIMIENTO, ESQUIPO ESTUVO EN STAND BY</t>
  </si>
  <si>
    <t xml:space="preserve">SE REALIZA UN M0 CAMBIO DE ACEITE , SE CORRE FECHA POR CRONOGRAMA </t>
  </si>
  <si>
    <t>SE EJECUTA MANTENIMIENTO M2</t>
  </si>
  <si>
    <t>DESCARBONIZACIÓN DEL EQUIPO</t>
  </si>
  <si>
    <t>SE CORRE DIA DE MANTENIMIENTO</t>
  </si>
  <si>
    <t>SE REALIZA MANTENIMIENTO POR CAMBIO DE CONTROL AGC 4 M10</t>
  </si>
  <si>
    <t xml:space="preserve">M2 Se ejecuta mantenimiento </t>
  </si>
  <si>
    <t>SE PROGRAM MANTENIMIENTO M1//SE POSTERGA MANTENIMIENTO, NO CUMPLE CON HORAS DE MANTENIMIENTO</t>
  </si>
  <si>
    <t xml:space="preserve">M2 SE EJECUTA MANTENIMIENTO. </t>
  </si>
  <si>
    <t>EQUIPO PERMANECE EN STAND BY</t>
  </si>
  <si>
    <t xml:space="preserve">SE EJECUTA MANTENIMIENTO M1 </t>
  </si>
  <si>
    <t xml:space="preserve">SE REALIZA MANTENIMIENTO PREVEVENTIVO M1 </t>
  </si>
  <si>
    <t>M10 SE ADELANTA MANTENIMIENTO PREVENTIVO POR CUMPLIMIENTO DE HORAS 
M3 SE EJECUTA MANTENIMIENTO</t>
  </si>
  <si>
    <t>SE EJECUTA MANTENIMIENTO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</si>
</sst>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28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D9E2F3"/>
      </right>
      <top style="medium">
        <color indexed="64"/>
      </top>
      <bottom style="thin">
        <color rgb="FFD9E2F3"/>
      </bottom>
      <diagonal/>
    </border>
    <border>
      <left/>
      <right style="medium">
        <color rgb="FFD9E2F3"/>
      </right>
      <top style="medium">
        <color indexed="64"/>
      </top>
      <bottom style="thin">
        <color rgb="FFD9E2F3"/>
      </bottom>
      <diagonal/>
    </border>
    <border>
      <left style="medium">
        <color rgb="FFD9E2F3"/>
      </left>
      <right style="medium">
        <color rgb="FFD9E2F3"/>
      </right>
      <top style="medium">
        <color indexed="64"/>
      </top>
      <bottom style="thin">
        <color rgb="FFD9E2F3"/>
      </bottom>
      <diagonal/>
    </border>
    <border>
      <left style="medium">
        <color rgb="FFD9E2F3"/>
      </left>
      <right style="medium">
        <color indexed="64"/>
      </right>
      <top style="medium">
        <color indexed="64"/>
      </top>
      <bottom style="thin">
        <color rgb="FFD9E2F3"/>
      </bottom>
      <diagonal/>
    </border>
    <border>
      <left style="medium">
        <color rgb="FFD9E2F3"/>
      </left>
      <right/>
      <top style="medium">
        <color indexed="64"/>
      </top>
      <bottom style="thin">
        <color rgb="FFD9E2F3"/>
      </bottom>
      <diagonal/>
    </border>
    <border>
      <left style="medium">
        <color indexed="64"/>
      </left>
      <right style="medium">
        <color rgb="FFD9E2F3"/>
      </right>
      <top style="thin">
        <color rgb="FFD9E2F3"/>
      </top>
      <bottom style="thin">
        <color rgb="FFD9E2F3"/>
      </bottom>
      <diagonal/>
    </border>
    <border>
      <left/>
      <right style="medium">
        <color rgb="FFD9E2F3"/>
      </right>
      <top style="thin">
        <color rgb="FFD9E2F3"/>
      </top>
      <bottom style="thin">
        <color rgb="FFD9E2F3"/>
      </bottom>
      <diagonal/>
    </border>
    <border>
      <left style="medium">
        <color rgb="FFD9E2F3"/>
      </left>
      <right style="medium">
        <color rgb="FFD9E2F3"/>
      </right>
      <top style="thin">
        <color rgb="FFD9E2F3"/>
      </top>
      <bottom style="thin">
        <color rgb="FFD9E2F3"/>
      </bottom>
      <diagonal/>
    </border>
    <border>
      <left style="medium">
        <color rgb="FFD9E2F3"/>
      </left>
      <right style="medium">
        <color indexed="64"/>
      </right>
      <top style="thin">
        <color rgb="FFD9E2F3"/>
      </top>
      <bottom style="thin">
        <color rgb="FFD9E2F3"/>
      </bottom>
      <diagonal/>
    </border>
    <border>
      <left style="medium">
        <color rgb="FFD9E2F3"/>
      </left>
      <right/>
      <top style="thin">
        <color rgb="FFD9E2F3"/>
      </top>
      <bottom style="thin">
        <color rgb="FFD9E2F3"/>
      </bottom>
      <diagonal/>
    </border>
    <border>
      <left style="medium">
        <color rgb="FFD9E2F3"/>
      </left>
      <right style="medium">
        <color rgb="FFD9E2F3"/>
      </right>
      <top/>
      <bottom style="thin">
        <color rgb="FFD9E2F3"/>
      </bottom>
      <diagonal/>
    </border>
    <border>
      <left style="medium">
        <color indexed="64"/>
      </left>
      <right style="medium">
        <color rgb="FFD9E2F3"/>
      </right>
      <top style="thin">
        <color rgb="FFD9E2F3"/>
      </top>
      <bottom style="medium">
        <color indexed="64"/>
      </bottom>
      <diagonal/>
    </border>
    <border>
      <left/>
      <right style="medium">
        <color rgb="FFD9E2F3"/>
      </right>
      <top style="thin">
        <color rgb="FFD9E2F3"/>
      </top>
      <bottom style="medium">
        <color indexed="64"/>
      </bottom>
      <diagonal/>
    </border>
    <border>
      <left style="medium">
        <color rgb="FFD9E2F3"/>
      </left>
      <right style="medium">
        <color rgb="FFD9E2F3"/>
      </right>
      <top style="thin">
        <color rgb="FFD9E2F3"/>
      </top>
      <bottom style="medium">
        <color indexed="64"/>
      </bottom>
      <diagonal/>
    </border>
    <border>
      <left style="medium">
        <color rgb="FFD9E2F3"/>
      </left>
      <right style="medium">
        <color indexed="64"/>
      </right>
      <top style="thin">
        <color rgb="FFD9E2F3"/>
      </top>
      <bottom style="medium">
        <color indexed="64"/>
      </bottom>
      <diagonal/>
    </border>
    <border>
      <left style="medium">
        <color rgb="FFD9E2F3"/>
      </left>
      <right/>
      <top style="thin">
        <color rgb="FFD9E2F3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8" borderId="21" xfId="0" applyFont="1" applyFill="1" applyBorder="1" applyAlignment="1">
      <alignment horizontal="center" vertical="center" textRotation="255"/>
    </xf>
    <xf numFmtId="0" fontId="7" fillId="8" borderId="22" xfId="0" applyFont="1" applyFill="1" applyBorder="1" applyAlignment="1">
      <alignment horizontal="center" vertical="center" textRotation="255"/>
    </xf>
    <xf numFmtId="164" fontId="8" fillId="0" borderId="23" xfId="0" applyNumberFormat="1" applyFont="1" applyBorder="1" applyAlignment="1">
      <alignment horizontal="center" vertical="center"/>
    </xf>
    <xf numFmtId="3" fontId="8" fillId="0" borderId="23" xfId="0" applyNumberFormat="1" applyFont="1" applyBorder="1" applyAlignment="1">
      <alignment horizontal="center" vertical="center"/>
    </xf>
    <xf numFmtId="3" fontId="8" fillId="9" borderId="23" xfId="0" applyNumberFormat="1" applyFont="1" applyFill="1" applyBorder="1" applyAlignment="1">
      <alignment horizontal="center" vertical="center"/>
    </xf>
    <xf numFmtId="3" fontId="8" fillId="10" borderId="23" xfId="0" applyNumberFormat="1" applyFont="1" applyFill="1" applyBorder="1" applyAlignment="1">
      <alignment horizontal="center" vertical="center"/>
    </xf>
    <xf numFmtId="3" fontId="8" fillId="0" borderId="24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11" borderId="23" xfId="0" applyFont="1" applyFill="1" applyBorder="1" applyAlignment="1">
      <alignment horizontal="left" vertical="center"/>
    </xf>
    <xf numFmtId="164" fontId="8" fillId="0" borderId="23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 vertical="center" textRotation="255"/>
    </xf>
    <xf numFmtId="0" fontId="7" fillId="8" borderId="27" xfId="0" applyFont="1" applyFill="1" applyBorder="1" applyAlignment="1">
      <alignment horizontal="center" vertical="center" textRotation="255"/>
    </xf>
    <xf numFmtId="164" fontId="8" fillId="0" borderId="28" xfId="0" applyNumberFormat="1" applyFont="1" applyBorder="1" applyAlignment="1">
      <alignment horizontal="center" vertical="center"/>
    </xf>
    <xf numFmtId="3" fontId="8" fillId="0" borderId="28" xfId="0" applyNumberFormat="1" applyFont="1" applyBorder="1" applyAlignment="1">
      <alignment horizontal="center" vertical="center"/>
    </xf>
    <xf numFmtId="3" fontId="8" fillId="9" borderId="28" xfId="0" applyNumberFormat="1" applyFont="1" applyFill="1" applyBorder="1" applyAlignment="1">
      <alignment horizontal="center" vertical="center"/>
    </xf>
    <xf numFmtId="3" fontId="8" fillId="10" borderId="28" xfId="0" applyNumberFormat="1" applyFont="1" applyFill="1" applyBorder="1" applyAlignment="1">
      <alignment horizontal="center" vertical="center"/>
    </xf>
    <xf numFmtId="3" fontId="8" fillId="0" borderId="29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12" borderId="28" xfId="0" applyFont="1" applyFill="1" applyBorder="1" applyAlignment="1">
      <alignment horizontal="left" vertical="center"/>
    </xf>
    <xf numFmtId="0" fontId="8" fillId="0" borderId="29" xfId="0" applyFont="1" applyBorder="1" applyAlignment="1">
      <alignment horizontal="center" vertical="center" wrapText="1"/>
    </xf>
    <xf numFmtId="0" fontId="8" fillId="13" borderId="28" xfId="0" applyFont="1" applyFill="1" applyBorder="1" applyAlignment="1">
      <alignment horizontal="left" vertical="center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/>
    </xf>
    <xf numFmtId="0" fontId="8" fillId="9" borderId="28" xfId="0" applyFont="1" applyFill="1" applyBorder="1" applyAlignment="1">
      <alignment horizontal="left" vertical="center"/>
    </xf>
    <xf numFmtId="0" fontId="8" fillId="14" borderId="28" xfId="0" applyFont="1" applyFill="1" applyBorder="1" applyAlignment="1">
      <alignment horizontal="left" vertical="center"/>
    </xf>
    <xf numFmtId="3" fontId="8" fillId="15" borderId="28" xfId="0" applyNumberFormat="1" applyFont="1" applyFill="1" applyBorder="1" applyAlignment="1">
      <alignment horizontal="center" vertical="center"/>
    </xf>
    <xf numFmtId="3" fontId="8" fillId="9" borderId="31" xfId="0" applyNumberFormat="1" applyFont="1" applyFill="1" applyBorder="1" applyAlignment="1">
      <alignment horizontal="center" vertical="center"/>
    </xf>
    <xf numFmtId="3" fontId="8" fillId="10" borderId="31" xfId="0" applyNumberFormat="1" applyFont="1" applyFill="1" applyBorder="1" applyAlignment="1">
      <alignment horizontal="center" vertical="center"/>
    </xf>
    <xf numFmtId="164" fontId="8" fillId="0" borderId="28" xfId="0" applyNumberFormat="1" applyFont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 textRotation="255"/>
    </xf>
    <xf numFmtId="0" fontId="7" fillId="8" borderId="33" xfId="0" applyFont="1" applyFill="1" applyBorder="1" applyAlignment="1">
      <alignment horizontal="center" vertical="center" textRotation="255"/>
    </xf>
    <xf numFmtId="164" fontId="8" fillId="0" borderId="34" xfId="0" applyNumberFormat="1" applyFont="1" applyBorder="1" applyAlignment="1">
      <alignment horizontal="center" vertical="center"/>
    </xf>
    <xf numFmtId="3" fontId="8" fillId="0" borderId="34" xfId="0" applyNumberFormat="1" applyFont="1" applyBorder="1" applyAlignment="1">
      <alignment horizontal="center" vertical="center"/>
    </xf>
    <xf numFmtId="3" fontId="8" fillId="9" borderId="34" xfId="0" applyNumberFormat="1" applyFont="1" applyFill="1" applyBorder="1" applyAlignment="1">
      <alignment horizontal="center" vertical="center"/>
    </xf>
    <xf numFmtId="3" fontId="8" fillId="10" borderId="34" xfId="0" applyNumberFormat="1" applyFont="1" applyFill="1" applyBorder="1" applyAlignment="1">
      <alignment horizontal="center" vertical="center"/>
    </xf>
    <xf numFmtId="3" fontId="8" fillId="0" borderId="35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14" borderId="34" xfId="0" applyFont="1" applyFill="1" applyBorder="1" applyAlignment="1">
      <alignment horizontal="left" vertical="center"/>
    </xf>
    <xf numFmtId="0" fontId="8" fillId="0" borderId="35" xfId="0" applyFont="1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666666"/>
      </font>
      <fill>
        <patternFill patternType="solid">
          <fgColor indexed="64"/>
          <bgColor rgb="FFE7E6E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DBD2-483A-4266-98DE-38DC63699E5B}">
  <dimension ref="A1:BW34"/>
  <sheetViews>
    <sheetView tabSelected="1" zoomScale="55" zoomScaleNormal="55" workbookViewId="0">
      <pane xSplit="4" ySplit="3" topLeftCell="BF4" activePane="bottomRight" state="frozen"/>
      <selection pane="topRight" activeCell="E1" sqref="E1"/>
      <selection pane="bottomLeft" activeCell="A4" sqref="A4"/>
      <selection pane="bottomRight" activeCell="BK24" sqref="BK24"/>
    </sheetView>
  </sheetViews>
  <sheetFormatPr baseColWidth="10" defaultRowHeight="14.4" x14ac:dyDescent="0.3"/>
  <cols>
    <col min="3" max="3" width="21.6640625" customWidth="1"/>
    <col min="58" max="58" width="21" customWidth="1"/>
    <col min="59" max="59" width="41.44140625" customWidth="1"/>
    <col min="61" max="61" width="19.21875" customWidth="1"/>
    <col min="63" max="63" width="104.109375" customWidth="1"/>
  </cols>
  <sheetData>
    <row r="1" spans="1:75" s="10" customFormat="1" ht="30" customHeight="1" thickBot="1" x14ac:dyDescent="0.4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5"/>
      <c r="AY1" s="6"/>
      <c r="AZ1" s="7" t="s">
        <v>1</v>
      </c>
      <c r="BA1" s="8"/>
      <c r="BB1" s="8"/>
      <c r="BC1" s="8"/>
      <c r="BD1" s="8"/>
      <c r="BE1" s="9"/>
      <c r="BL1" s="11" t="s">
        <v>2</v>
      </c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</row>
    <row r="2" spans="1:75" s="10" customFormat="1" ht="60" customHeight="1" thickBot="1" x14ac:dyDescent="0.35">
      <c r="A2" s="1"/>
      <c r="B2" s="2"/>
      <c r="C2" s="12" t="s">
        <v>3</v>
      </c>
      <c r="D2" s="13" t="s">
        <v>4</v>
      </c>
      <c r="E2" s="14" t="s">
        <v>5</v>
      </c>
      <c r="F2" s="15"/>
      <c r="G2" s="14" t="s">
        <v>6</v>
      </c>
      <c r="H2" s="15"/>
      <c r="I2" s="14" t="s">
        <v>7</v>
      </c>
      <c r="J2" s="15"/>
      <c r="K2" s="14" t="s">
        <v>8</v>
      </c>
      <c r="L2" s="15"/>
      <c r="M2" s="14" t="s">
        <v>9</v>
      </c>
      <c r="N2" s="15"/>
      <c r="O2" s="14" t="s">
        <v>10</v>
      </c>
      <c r="P2" s="15"/>
      <c r="Q2" s="14" t="s">
        <v>11</v>
      </c>
      <c r="R2" s="15"/>
      <c r="S2" s="14" t="s">
        <v>12</v>
      </c>
      <c r="T2" s="15"/>
      <c r="U2" s="14" t="s">
        <v>13</v>
      </c>
      <c r="V2" s="15"/>
      <c r="W2" s="14" t="s">
        <v>14</v>
      </c>
      <c r="X2" s="15"/>
      <c r="Y2" s="14" t="s">
        <v>15</v>
      </c>
      <c r="Z2" s="15"/>
      <c r="AA2" s="14" t="s">
        <v>16</v>
      </c>
      <c r="AB2" s="15"/>
      <c r="AC2" s="14" t="s">
        <v>12</v>
      </c>
      <c r="AD2" s="15"/>
      <c r="AE2" s="14" t="s">
        <v>17</v>
      </c>
      <c r="AF2" s="15"/>
      <c r="AG2" s="14" t="s">
        <v>18</v>
      </c>
      <c r="AH2" s="15"/>
      <c r="AI2" s="14" t="s">
        <v>18</v>
      </c>
      <c r="AJ2" s="15"/>
      <c r="AK2" s="14" t="s">
        <v>18</v>
      </c>
      <c r="AL2" s="15"/>
      <c r="AM2" s="14" t="s">
        <v>19</v>
      </c>
      <c r="AN2" s="15"/>
      <c r="AO2" s="14" t="s">
        <v>19</v>
      </c>
      <c r="AP2" s="16"/>
      <c r="AQ2" s="14" t="s">
        <v>20</v>
      </c>
      <c r="AR2" s="16"/>
      <c r="AS2" s="14" t="s">
        <v>21</v>
      </c>
      <c r="AT2" s="15"/>
      <c r="AU2" s="14" t="s">
        <v>22</v>
      </c>
      <c r="AV2" s="15"/>
      <c r="AW2" s="14" t="s">
        <v>23</v>
      </c>
      <c r="AX2" s="15"/>
      <c r="AY2" s="17"/>
      <c r="AZ2" s="18"/>
      <c r="BA2" s="19"/>
      <c r="BB2" s="19"/>
      <c r="BC2" s="19"/>
      <c r="BD2" s="19"/>
      <c r="BE2" s="20"/>
      <c r="BF2" s="21" t="s">
        <v>24</v>
      </c>
      <c r="BG2" s="22"/>
      <c r="BH2" s="22"/>
      <c r="BI2" s="22"/>
      <c r="BJ2" s="22"/>
      <c r="BK2" s="22"/>
      <c r="BL2" s="23" t="s">
        <v>25</v>
      </c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</row>
    <row r="3" spans="1:75" s="38" customFormat="1" ht="36" customHeight="1" thickBot="1" x14ac:dyDescent="0.35">
      <c r="A3" s="1"/>
      <c r="B3" s="2" t="s">
        <v>26</v>
      </c>
      <c r="C3" s="24"/>
      <c r="D3" s="25"/>
      <c r="E3" s="26" t="s">
        <v>27</v>
      </c>
      <c r="F3" s="27" t="s">
        <v>28</v>
      </c>
      <c r="G3" s="26" t="s">
        <v>29</v>
      </c>
      <c r="H3" s="27" t="s">
        <v>28</v>
      </c>
      <c r="I3" s="26" t="s">
        <v>30</v>
      </c>
      <c r="J3" s="27" t="s">
        <v>28</v>
      </c>
      <c r="K3" s="26" t="s">
        <v>31</v>
      </c>
      <c r="L3" s="27" t="s">
        <v>28</v>
      </c>
      <c r="M3" s="26" t="s">
        <v>32</v>
      </c>
      <c r="N3" s="27" t="s">
        <v>28</v>
      </c>
      <c r="O3" s="26" t="s">
        <v>33</v>
      </c>
      <c r="P3" s="27" t="s">
        <v>28</v>
      </c>
      <c r="Q3" s="26" t="s">
        <v>34</v>
      </c>
      <c r="R3" s="27" t="s">
        <v>28</v>
      </c>
      <c r="S3" s="26" t="s">
        <v>35</v>
      </c>
      <c r="T3" s="27" t="s">
        <v>28</v>
      </c>
      <c r="U3" s="26" t="s">
        <v>36</v>
      </c>
      <c r="V3" s="27" t="s">
        <v>28</v>
      </c>
      <c r="W3" s="26" t="s">
        <v>37</v>
      </c>
      <c r="X3" s="27" t="s">
        <v>28</v>
      </c>
      <c r="Y3" s="26" t="s">
        <v>38</v>
      </c>
      <c r="Z3" s="27" t="s">
        <v>28</v>
      </c>
      <c r="AA3" s="26" t="s">
        <v>39</v>
      </c>
      <c r="AB3" s="27" t="s">
        <v>28</v>
      </c>
      <c r="AC3" s="26" t="s">
        <v>40</v>
      </c>
      <c r="AD3" s="27" t="s">
        <v>28</v>
      </c>
      <c r="AE3" s="26" t="s">
        <v>41</v>
      </c>
      <c r="AF3" s="27" t="s">
        <v>28</v>
      </c>
      <c r="AG3" s="26" t="s">
        <v>42</v>
      </c>
      <c r="AH3" s="27" t="s">
        <v>28</v>
      </c>
      <c r="AI3" s="26" t="s">
        <v>43</v>
      </c>
      <c r="AJ3" s="27" t="s">
        <v>28</v>
      </c>
      <c r="AK3" s="26" t="s">
        <v>44</v>
      </c>
      <c r="AL3" s="27" t="s">
        <v>28</v>
      </c>
      <c r="AM3" s="26" t="s">
        <v>45</v>
      </c>
      <c r="AN3" s="27" t="s">
        <v>28</v>
      </c>
      <c r="AO3" s="26" t="s">
        <v>46</v>
      </c>
      <c r="AP3" s="28" t="s">
        <v>28</v>
      </c>
      <c r="AQ3" s="29" t="s">
        <v>20</v>
      </c>
      <c r="AR3" s="30" t="s">
        <v>47</v>
      </c>
      <c r="AS3" s="31" t="s">
        <v>48</v>
      </c>
      <c r="AT3" s="32"/>
      <c r="AU3" s="31" t="s">
        <v>49</v>
      </c>
      <c r="AV3" s="32"/>
      <c r="AW3" s="26" t="s">
        <v>50</v>
      </c>
      <c r="AX3" s="27" t="s">
        <v>47</v>
      </c>
      <c r="AY3" s="17"/>
      <c r="AZ3" s="33" t="s">
        <v>51</v>
      </c>
      <c r="BA3" s="34"/>
      <c r="BB3" s="35" t="s">
        <v>52</v>
      </c>
      <c r="BC3" s="35"/>
      <c r="BD3" s="35" t="s">
        <v>53</v>
      </c>
      <c r="BE3" s="36"/>
      <c r="BF3" s="37" t="s">
        <v>54</v>
      </c>
      <c r="BG3" s="37" t="s">
        <v>55</v>
      </c>
      <c r="BH3" s="37" t="s">
        <v>56</v>
      </c>
      <c r="BI3" s="37" t="s">
        <v>57</v>
      </c>
      <c r="BJ3" s="37" t="s">
        <v>58</v>
      </c>
      <c r="BK3" s="37" t="s">
        <v>59</v>
      </c>
      <c r="BL3"/>
      <c r="BM3"/>
      <c r="BN3"/>
      <c r="BO3"/>
      <c r="BP3"/>
      <c r="BQ3"/>
      <c r="BR3"/>
      <c r="BS3"/>
      <c r="BT3"/>
      <c r="BU3"/>
      <c r="BV3"/>
      <c r="BW3"/>
    </row>
    <row r="4" spans="1:75" ht="27.6" x14ac:dyDescent="0.3">
      <c r="A4" s="39" t="s">
        <v>60</v>
      </c>
      <c r="B4" s="40"/>
      <c r="C4" s="41">
        <v>46204</v>
      </c>
      <c r="D4" s="42">
        <f t="shared" ref="D4:D34" si="0">+F4+H4+J4+L4+N4+P4+R4+Z4+AB4+AD4+AF4+AH4+AJ4+AL4+AN4+AP4</f>
        <v>20</v>
      </c>
      <c r="E4" s="42">
        <f t="shared" ref="E4:E34" si="1">IF(MOD(C4-$C$4,42)=0,8,"")</f>
        <v>8</v>
      </c>
      <c r="F4" s="42"/>
      <c r="G4" s="42" t="str">
        <f t="shared" ref="G4:G34" si="2">IF(MOD(C4-$C$30,42)=0,8,"")</f>
        <v/>
      </c>
      <c r="H4" s="42"/>
      <c r="I4" s="42" t="str">
        <f t="shared" ref="I4:I34" si="3">IF(MOD(C6-$C$30,42)=0,8,"")</f>
        <v/>
      </c>
      <c r="J4" s="42"/>
      <c r="K4" s="42" t="s">
        <v>61</v>
      </c>
      <c r="L4" s="42"/>
      <c r="M4" s="42" t="str">
        <f t="shared" ref="M4:M34" si="4">IF(MOD(C4-$C$76,42)=0,8,"")</f>
        <v/>
      </c>
      <c r="N4" s="42"/>
      <c r="O4" s="43"/>
      <c r="P4" s="43"/>
      <c r="Q4" s="43"/>
      <c r="R4" s="43"/>
      <c r="S4" s="43"/>
      <c r="T4" s="43"/>
      <c r="U4" s="43"/>
      <c r="V4" s="43"/>
      <c r="W4" s="43">
        <v>12</v>
      </c>
      <c r="X4" s="43">
        <v>20</v>
      </c>
      <c r="Y4" s="43">
        <f t="shared" ref="Y4:Y32" si="5">IF(MOD(C4-$C$4,15)=0,8,"")</f>
        <v>8</v>
      </c>
      <c r="Z4" s="43"/>
      <c r="AA4" s="42">
        <v>10</v>
      </c>
      <c r="AB4" s="42">
        <v>20</v>
      </c>
      <c r="AC4" s="43"/>
      <c r="AD4" s="43"/>
      <c r="AE4" s="44"/>
      <c r="AF4" s="44"/>
      <c r="AG4" s="44"/>
      <c r="AH4" s="44"/>
      <c r="AI4" s="44"/>
      <c r="AJ4" s="44"/>
      <c r="AK4" s="43"/>
      <c r="AL4" s="43"/>
      <c r="AM4" s="43"/>
      <c r="AN4" s="43"/>
      <c r="AO4" s="43"/>
      <c r="AP4" s="43"/>
      <c r="AQ4" s="42"/>
      <c r="AR4" s="42"/>
      <c r="AS4" s="42"/>
      <c r="AT4" s="42"/>
      <c r="AU4" s="42"/>
      <c r="AV4" s="42"/>
      <c r="AW4" s="42"/>
      <c r="AX4" s="45"/>
      <c r="AY4" s="46"/>
      <c r="AZ4" s="47"/>
      <c r="BA4" s="47"/>
      <c r="BB4" s="47"/>
      <c r="BC4" s="47"/>
      <c r="BD4" s="47"/>
      <c r="BE4" s="48"/>
      <c r="BF4" s="47" t="str">
        <f t="shared" ref="BF4:BF34" si="6">IF(SUM(E4,G4,I4,K4,M4,O4,Q4,S4,U4,W4,Y4,AA4,AC4,AE4,AG4,AI4,AK4,AM4,AO4,AQ4,AW4)&gt;0,"Sí","No")</f>
        <v>Sí</v>
      </c>
      <c r="BG4" s="49" t="str">
        <f t="shared" ref="BG4:BG34" si="7">IF($BF4="Sí",_xlfn.TEXTJOIN(", ",TRUE,IF(N(E4)&gt;0,E$3,""),IF(N(G4)&gt;0,G$3,""),IF(N(I4)&gt;0,I$3,""),IF(N(K4)&gt;0,K$3,""),IF(N(M4)&gt;0,M$3,""),IF(N(O4)&gt;0,O$3,""),IF(N(Q4)&gt;0,Q$3,""),IF(N(S4)&gt;0,S$3,""),IF(N(U4)&gt;0,U$3,""),IF(N(W4)&gt;0,W$3,""),IF(N(Y4)&gt;0,Y$3,""),IF(N(AA4)&gt;0,AA$3,""),IF(N(AC4)&gt;0,AC$3,""),IF(N(AE4)&gt;0,AE$3,""),IF(N(AG4)&gt;0,AG$3,""),IF(N(AI4)&gt;0,AI$3,""),IF(N(AK4)&gt;0,AK$3,""),IF(N(AM4)&gt;0,AM$3,""),IF(N(AO4)&gt;0,AO$3,""),IF(N(AQ4)&gt;0,AQ$3,""),IF(N(AW4)&gt;0,AW$3,"")),"")</f>
        <v>CPW02
, CPW12, JINAN 01, JINAN 02</v>
      </c>
      <c r="BH4" s="47" t="s">
        <v>62</v>
      </c>
      <c r="BI4" s="47" t="str">
        <f t="shared" ref="BI4:BI34" si="8">IF($BF4="No","No aplica",IF($BH4="Sí","Ejecutado","Programado pendiente"))</f>
        <v>Ejecutado</v>
      </c>
      <c r="BJ4" s="50" t="s">
        <v>63</v>
      </c>
      <c r="BK4" s="51" t="s">
        <v>64</v>
      </c>
    </row>
    <row r="5" spans="1:75" x14ac:dyDescent="0.3">
      <c r="A5" s="52"/>
      <c r="B5" s="53"/>
      <c r="C5" s="54">
        <v>46205</v>
      </c>
      <c r="D5" s="55">
        <f t="shared" si="0"/>
        <v>20</v>
      </c>
      <c r="E5" s="55" t="str">
        <f t="shared" si="1"/>
        <v/>
      </c>
      <c r="F5" s="55"/>
      <c r="G5" s="55" t="str">
        <f t="shared" si="2"/>
        <v/>
      </c>
      <c r="H5" s="55"/>
      <c r="I5" s="55" t="str">
        <f t="shared" si="3"/>
        <v/>
      </c>
      <c r="J5" s="55"/>
      <c r="K5" s="55" t="s">
        <v>61</v>
      </c>
      <c r="L5" s="55"/>
      <c r="M5" s="55" t="str">
        <f t="shared" si="4"/>
        <v/>
      </c>
      <c r="N5" s="55"/>
      <c r="O5" s="56"/>
      <c r="P5" s="56"/>
      <c r="Q5" s="56"/>
      <c r="R5" s="56"/>
      <c r="S5" s="56">
        <v>8</v>
      </c>
      <c r="T5" s="56">
        <v>16</v>
      </c>
      <c r="U5" s="56"/>
      <c r="V5" s="56"/>
      <c r="W5" s="56"/>
      <c r="X5" s="56"/>
      <c r="Y5" s="56" t="str">
        <f t="shared" si="5"/>
        <v/>
      </c>
      <c r="Z5" s="56"/>
      <c r="AA5" s="56"/>
      <c r="AB5" s="56"/>
      <c r="AC5" s="55">
        <v>10</v>
      </c>
      <c r="AD5" s="55">
        <v>20</v>
      </c>
      <c r="AE5" s="57"/>
      <c r="AF5" s="57"/>
      <c r="AG5" s="57"/>
      <c r="AH5" s="57"/>
      <c r="AI5" s="57"/>
      <c r="AJ5" s="57"/>
      <c r="AK5" s="56"/>
      <c r="AL5" s="56"/>
      <c r="AM5" s="56"/>
      <c r="AN5" s="56"/>
      <c r="AO5" s="56"/>
      <c r="AP5" s="56"/>
      <c r="AQ5" s="55"/>
      <c r="AR5" s="55"/>
      <c r="AS5" s="55"/>
      <c r="AT5" s="55"/>
      <c r="AU5" s="55"/>
      <c r="AV5" s="55"/>
      <c r="AW5" s="55"/>
      <c r="AX5" s="58"/>
      <c r="AY5" s="59"/>
      <c r="AZ5" s="60"/>
      <c r="BA5" s="60"/>
      <c r="BB5" s="60"/>
      <c r="BC5" s="60"/>
      <c r="BD5" s="60"/>
      <c r="BE5" s="61"/>
      <c r="BF5" s="60" t="str">
        <f t="shared" si="6"/>
        <v>Sí</v>
      </c>
      <c r="BG5" s="62" t="s">
        <v>35</v>
      </c>
      <c r="BH5" s="60" t="s">
        <v>65</v>
      </c>
      <c r="BI5" s="60" t="str">
        <f t="shared" si="8"/>
        <v>Programado pendiente</v>
      </c>
      <c r="BJ5" s="54"/>
      <c r="BK5" s="63" t="s">
        <v>66</v>
      </c>
    </row>
    <row r="6" spans="1:75" x14ac:dyDescent="0.3">
      <c r="A6" s="52"/>
      <c r="B6" s="53"/>
      <c r="C6" s="54">
        <v>46206</v>
      </c>
      <c r="D6" s="55">
        <f t="shared" si="0"/>
        <v>0</v>
      </c>
      <c r="E6" s="55" t="str">
        <f t="shared" si="1"/>
        <v/>
      </c>
      <c r="F6" s="55"/>
      <c r="G6" s="55" t="str">
        <f t="shared" si="2"/>
        <v/>
      </c>
      <c r="H6" s="55"/>
      <c r="I6" s="55" t="str">
        <f t="shared" si="3"/>
        <v/>
      </c>
      <c r="J6" s="55"/>
      <c r="K6" s="55" t="s">
        <v>61</v>
      </c>
      <c r="L6" s="55"/>
      <c r="M6" s="55" t="str">
        <f t="shared" si="4"/>
        <v/>
      </c>
      <c r="N6" s="55"/>
      <c r="O6" s="56"/>
      <c r="P6" s="56"/>
      <c r="Q6" s="56"/>
      <c r="R6" s="56"/>
      <c r="S6" s="56"/>
      <c r="T6" s="56"/>
      <c r="U6" s="56">
        <v>12</v>
      </c>
      <c r="V6" s="56">
        <v>20</v>
      </c>
      <c r="W6" s="56"/>
      <c r="X6" s="56"/>
      <c r="Y6" s="56" t="str">
        <f t="shared" si="5"/>
        <v/>
      </c>
      <c r="Z6" s="56"/>
      <c r="AA6" s="56"/>
      <c r="AB6" s="56"/>
      <c r="AC6" s="56"/>
      <c r="AD6" s="56"/>
      <c r="AE6" s="57"/>
      <c r="AF6" s="57"/>
      <c r="AG6" s="57"/>
      <c r="AH6" s="57"/>
      <c r="AI6" s="57"/>
      <c r="AJ6" s="57"/>
      <c r="AK6" s="56"/>
      <c r="AL6" s="56"/>
      <c r="AM6" s="56"/>
      <c r="AN6" s="56"/>
      <c r="AO6" s="56"/>
      <c r="AP6" s="56"/>
      <c r="AQ6" s="55"/>
      <c r="AR6" s="55"/>
      <c r="AS6" s="55"/>
      <c r="AT6" s="55"/>
      <c r="AU6" s="55"/>
      <c r="AV6" s="55"/>
      <c r="AW6" s="55"/>
      <c r="AX6" s="58"/>
      <c r="AY6" s="59"/>
      <c r="AZ6" s="60"/>
      <c r="BA6" s="60"/>
      <c r="BB6" s="60"/>
      <c r="BC6" s="60"/>
      <c r="BD6" s="60"/>
      <c r="BE6" s="61"/>
      <c r="BF6" s="60" t="str">
        <f t="shared" si="6"/>
        <v>Sí</v>
      </c>
      <c r="BG6" s="64" t="str">
        <f t="shared" si="7"/>
        <v>CPW11</v>
      </c>
      <c r="BH6" s="60" t="s">
        <v>62</v>
      </c>
      <c r="BI6" s="60" t="str">
        <f t="shared" si="8"/>
        <v>Ejecutado</v>
      </c>
      <c r="BJ6" s="54">
        <v>46205</v>
      </c>
      <c r="BK6" s="65" t="s">
        <v>67</v>
      </c>
    </row>
    <row r="7" spans="1:75" x14ac:dyDescent="0.3">
      <c r="A7" s="52"/>
      <c r="B7" s="53"/>
      <c r="C7" s="54">
        <v>46207</v>
      </c>
      <c r="D7" s="55">
        <f t="shared" si="0"/>
        <v>0</v>
      </c>
      <c r="E7" s="55" t="str">
        <f t="shared" si="1"/>
        <v/>
      </c>
      <c r="F7" s="55"/>
      <c r="G7" s="55" t="str">
        <f t="shared" si="2"/>
        <v/>
      </c>
      <c r="H7" s="55"/>
      <c r="I7" s="55" t="str">
        <f t="shared" si="3"/>
        <v/>
      </c>
      <c r="J7" s="55"/>
      <c r="K7" s="55"/>
      <c r="L7" s="55"/>
      <c r="M7" s="55" t="str">
        <f t="shared" si="4"/>
        <v/>
      </c>
      <c r="N7" s="55"/>
      <c r="O7" s="56"/>
      <c r="P7" s="56"/>
      <c r="Q7" s="56"/>
      <c r="R7" s="56"/>
      <c r="S7" s="56"/>
      <c r="T7" s="56"/>
      <c r="U7" s="56"/>
      <c r="V7" s="56"/>
      <c r="W7" s="56"/>
      <c r="X7" s="56"/>
      <c r="Y7" s="56" t="str">
        <f t="shared" si="5"/>
        <v/>
      </c>
      <c r="Z7" s="56"/>
      <c r="AA7" s="56"/>
      <c r="AB7" s="56"/>
      <c r="AC7" s="56"/>
      <c r="AD7" s="56"/>
      <c r="AE7" s="57"/>
      <c r="AF7" s="57"/>
      <c r="AG7" s="57"/>
      <c r="AH7" s="57"/>
      <c r="AI7" s="57"/>
      <c r="AJ7" s="57"/>
      <c r="AK7" s="56"/>
      <c r="AL7" s="56"/>
      <c r="AM7" s="56"/>
      <c r="AN7" s="56"/>
      <c r="AO7" s="56"/>
      <c r="AP7" s="56"/>
      <c r="AQ7" s="55"/>
      <c r="AR7" s="55"/>
      <c r="AS7" s="55"/>
      <c r="AT7" s="55"/>
      <c r="AU7" s="55"/>
      <c r="AV7" s="55"/>
      <c r="AW7" s="55"/>
      <c r="AX7" s="58"/>
      <c r="AY7" s="59"/>
      <c r="AZ7" s="60"/>
      <c r="BA7" s="60"/>
      <c r="BB7" s="60"/>
      <c r="BC7" s="60"/>
      <c r="BD7" s="60"/>
      <c r="BE7" s="61"/>
      <c r="BF7" s="60" t="str">
        <f t="shared" si="6"/>
        <v>No</v>
      </c>
      <c r="BG7" s="66" t="str">
        <f t="shared" si="7"/>
        <v/>
      </c>
      <c r="BH7" s="60"/>
      <c r="BI7" s="60" t="str">
        <f t="shared" si="8"/>
        <v>No aplica</v>
      </c>
      <c r="BJ7" s="54"/>
      <c r="BK7" s="63"/>
    </row>
    <row r="8" spans="1:75" x14ac:dyDescent="0.3">
      <c r="A8" s="52"/>
      <c r="B8" s="53"/>
      <c r="C8" s="54">
        <v>46208</v>
      </c>
      <c r="D8" s="55">
        <f t="shared" si="0"/>
        <v>0</v>
      </c>
      <c r="E8" s="55" t="str">
        <f t="shared" si="1"/>
        <v/>
      </c>
      <c r="F8" s="55"/>
      <c r="G8" s="55" t="str">
        <f t="shared" si="2"/>
        <v/>
      </c>
      <c r="H8" s="55"/>
      <c r="I8" s="55" t="str">
        <f t="shared" si="3"/>
        <v/>
      </c>
      <c r="J8" s="55"/>
      <c r="K8" s="55" t="s">
        <v>61</v>
      </c>
      <c r="L8" s="55"/>
      <c r="M8" s="55" t="str">
        <f t="shared" si="4"/>
        <v/>
      </c>
      <c r="N8" s="55"/>
      <c r="O8" s="56"/>
      <c r="P8" s="56"/>
      <c r="Q8" s="56"/>
      <c r="R8" s="56"/>
      <c r="S8" s="56"/>
      <c r="T8" s="56"/>
      <c r="U8" s="56"/>
      <c r="V8" s="56"/>
      <c r="W8" s="56"/>
      <c r="X8" s="56"/>
      <c r="Y8" s="56" t="str">
        <f t="shared" si="5"/>
        <v/>
      </c>
      <c r="Z8" s="56"/>
      <c r="AA8" s="56"/>
      <c r="AB8" s="56"/>
      <c r="AC8" s="56"/>
      <c r="AD8" s="56"/>
      <c r="AE8" s="57"/>
      <c r="AF8" s="57"/>
      <c r="AG8" s="57"/>
      <c r="AH8" s="57"/>
      <c r="AI8" s="57"/>
      <c r="AJ8" s="57"/>
      <c r="AK8" s="56"/>
      <c r="AL8" s="56"/>
      <c r="AM8" s="56"/>
      <c r="AN8" s="56"/>
      <c r="AO8" s="56"/>
      <c r="AP8" s="56"/>
      <c r="AQ8" s="55"/>
      <c r="AR8" s="55"/>
      <c r="AS8" s="55"/>
      <c r="AT8" s="55"/>
      <c r="AU8" s="55"/>
      <c r="AV8" s="55"/>
      <c r="AW8" s="55"/>
      <c r="AX8" s="58"/>
      <c r="AY8" s="59"/>
      <c r="AZ8" s="60"/>
      <c r="BA8" s="60"/>
      <c r="BB8" s="60"/>
      <c r="BC8" s="60"/>
      <c r="BD8" s="60"/>
      <c r="BE8" s="61"/>
      <c r="BF8" s="60" t="str">
        <f t="shared" si="6"/>
        <v>No</v>
      </c>
      <c r="BG8" s="67" t="str">
        <f t="shared" si="7"/>
        <v/>
      </c>
      <c r="BH8" s="60" t="s">
        <v>65</v>
      </c>
      <c r="BI8" s="60" t="str">
        <f t="shared" si="8"/>
        <v>No aplica</v>
      </c>
      <c r="BJ8" s="54"/>
      <c r="BK8" s="63"/>
    </row>
    <row r="9" spans="1:75" x14ac:dyDescent="0.3">
      <c r="A9" s="52"/>
      <c r="B9" s="53"/>
      <c r="C9" s="54">
        <v>46209</v>
      </c>
      <c r="D9" s="55">
        <f t="shared" si="0"/>
        <v>40</v>
      </c>
      <c r="E9" s="55" t="str">
        <f t="shared" si="1"/>
        <v/>
      </c>
      <c r="F9" s="55"/>
      <c r="G9" s="55" t="str">
        <f t="shared" si="2"/>
        <v/>
      </c>
      <c r="H9" s="55"/>
      <c r="I9" s="55" t="str">
        <f t="shared" si="3"/>
        <v/>
      </c>
      <c r="J9" s="55"/>
      <c r="K9" s="55">
        <v>10</v>
      </c>
      <c r="L9" s="55">
        <v>20</v>
      </c>
      <c r="M9" s="55" t="str">
        <f t="shared" si="4"/>
        <v/>
      </c>
      <c r="N9" s="55"/>
      <c r="O9" s="56"/>
      <c r="P9" s="56"/>
      <c r="Q9" s="56"/>
      <c r="R9" s="56"/>
      <c r="S9" s="56"/>
      <c r="T9" s="56"/>
      <c r="U9" s="56"/>
      <c r="V9" s="56"/>
      <c r="W9" s="56"/>
      <c r="X9" s="56"/>
      <c r="Y9" s="56" t="str">
        <f t="shared" si="5"/>
        <v/>
      </c>
      <c r="Z9" s="56"/>
      <c r="AA9" s="56"/>
      <c r="AB9" s="56"/>
      <c r="AC9" s="56"/>
      <c r="AD9" s="56"/>
      <c r="AE9" s="57"/>
      <c r="AF9" s="57"/>
      <c r="AG9" s="57"/>
      <c r="AH9" s="57"/>
      <c r="AI9" s="57"/>
      <c r="AJ9" s="57"/>
      <c r="AK9" s="55">
        <v>10</v>
      </c>
      <c r="AL9" s="55">
        <v>20</v>
      </c>
      <c r="AM9" s="56"/>
      <c r="AN9" s="56"/>
      <c r="AO9" s="56"/>
      <c r="AP9" s="56"/>
      <c r="AQ9" s="55"/>
      <c r="AR9" s="55"/>
      <c r="AS9" s="55"/>
      <c r="AT9" s="55"/>
      <c r="AU9" s="55"/>
      <c r="AV9" s="55"/>
      <c r="AW9" s="55"/>
      <c r="AX9" s="58"/>
      <c r="AY9" s="59"/>
      <c r="AZ9" s="60"/>
      <c r="BA9" s="60"/>
      <c r="BB9" s="60"/>
      <c r="BC9" s="60"/>
      <c r="BD9" s="60"/>
      <c r="BE9" s="61"/>
      <c r="BF9" s="60" t="str">
        <f t="shared" si="6"/>
        <v>Sí</v>
      </c>
      <c r="BG9" s="68" t="str">
        <f t="shared" si="7"/>
        <v>CPW04
, G 101 V</v>
      </c>
      <c r="BH9" s="60" t="s">
        <v>62</v>
      </c>
      <c r="BI9" s="60" t="str">
        <f t="shared" si="8"/>
        <v>Ejecutado</v>
      </c>
      <c r="BJ9" s="54">
        <v>46209</v>
      </c>
      <c r="BK9" s="63" t="s">
        <v>68</v>
      </c>
    </row>
    <row r="10" spans="1:75" x14ac:dyDescent="0.3">
      <c r="A10" s="52"/>
      <c r="B10" s="53"/>
      <c r="C10" s="54">
        <v>46210</v>
      </c>
      <c r="D10" s="55">
        <f t="shared" si="0"/>
        <v>68</v>
      </c>
      <c r="E10" s="55" t="str">
        <f t="shared" si="1"/>
        <v/>
      </c>
      <c r="F10" s="55"/>
      <c r="G10" s="69">
        <v>24</v>
      </c>
      <c r="H10" s="55">
        <v>48</v>
      </c>
      <c r="I10" s="55" t="str">
        <f t="shared" si="3"/>
        <v/>
      </c>
      <c r="J10" s="55"/>
      <c r="K10" s="55" t="s">
        <v>61</v>
      </c>
      <c r="L10" s="55"/>
      <c r="M10" s="55" t="str">
        <f t="shared" si="4"/>
        <v/>
      </c>
      <c r="N10" s="55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 t="str">
        <f t="shared" si="5"/>
        <v/>
      </c>
      <c r="Z10" s="56"/>
      <c r="AA10" s="56"/>
      <c r="AB10" s="56"/>
      <c r="AC10" s="56"/>
      <c r="AD10" s="56"/>
      <c r="AE10" s="57"/>
      <c r="AF10" s="57"/>
      <c r="AG10" s="57"/>
      <c r="AH10" s="57"/>
      <c r="AI10" s="57"/>
      <c r="AJ10" s="57"/>
      <c r="AK10" s="56"/>
      <c r="AL10" s="56"/>
      <c r="AM10" s="55">
        <v>10</v>
      </c>
      <c r="AN10" s="55">
        <v>20</v>
      </c>
      <c r="AO10" s="56"/>
      <c r="AP10" s="56"/>
      <c r="AQ10" s="55"/>
      <c r="AR10" s="55"/>
      <c r="AS10" s="55"/>
      <c r="AT10" s="55"/>
      <c r="AU10" s="55"/>
      <c r="AV10" s="55"/>
      <c r="AW10" s="55"/>
      <c r="AX10" s="58"/>
      <c r="AY10" s="59"/>
      <c r="AZ10" s="60"/>
      <c r="BA10" s="60"/>
      <c r="BB10" s="60"/>
      <c r="BC10" s="60"/>
      <c r="BD10" s="60"/>
      <c r="BE10" s="61"/>
      <c r="BF10" s="60" t="str">
        <f t="shared" si="6"/>
        <v>Sí</v>
      </c>
      <c r="BG10" s="68" t="str">
        <f t="shared" si="7"/>
        <v>CPW01, G102 J</v>
      </c>
      <c r="BH10" s="60" t="s">
        <v>62</v>
      </c>
      <c r="BI10" s="60" t="str">
        <f t="shared" si="8"/>
        <v>Ejecutado</v>
      </c>
      <c r="BJ10" s="54">
        <v>46210</v>
      </c>
      <c r="BK10" s="63" t="s">
        <v>69</v>
      </c>
    </row>
    <row r="11" spans="1:75" x14ac:dyDescent="0.3">
      <c r="A11" s="52"/>
      <c r="B11" s="53"/>
      <c r="C11" s="54">
        <v>46211</v>
      </c>
      <c r="D11" s="55">
        <f t="shared" si="0"/>
        <v>68</v>
      </c>
      <c r="E11" s="55" t="str">
        <f t="shared" si="1"/>
        <v/>
      </c>
      <c r="F11" s="55"/>
      <c r="G11" s="69">
        <v>24</v>
      </c>
      <c r="H11" s="55">
        <v>48</v>
      </c>
      <c r="I11" s="55" t="str">
        <f t="shared" si="3"/>
        <v/>
      </c>
      <c r="J11" s="55"/>
      <c r="K11" s="55" t="s">
        <v>61</v>
      </c>
      <c r="L11" s="55"/>
      <c r="M11" s="55" t="str">
        <f t="shared" si="4"/>
        <v/>
      </c>
      <c r="N11" s="55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 t="str">
        <f t="shared" si="5"/>
        <v/>
      </c>
      <c r="Z11" s="56"/>
      <c r="AA11" s="56"/>
      <c r="AB11" s="56"/>
      <c r="AC11" s="56"/>
      <c r="AD11" s="56"/>
      <c r="AE11" s="57"/>
      <c r="AF11" s="57"/>
      <c r="AG11" s="57"/>
      <c r="AH11" s="57"/>
      <c r="AI11" s="57"/>
      <c r="AJ11" s="57"/>
      <c r="AK11" s="56"/>
      <c r="AL11" s="56"/>
      <c r="AM11" s="56"/>
      <c r="AN11" s="56"/>
      <c r="AO11" s="55">
        <v>10</v>
      </c>
      <c r="AP11" s="55">
        <v>20</v>
      </c>
      <c r="AQ11" s="55"/>
      <c r="AR11" s="55"/>
      <c r="AS11" s="55"/>
      <c r="AT11" s="55"/>
      <c r="AU11" s="55"/>
      <c r="AV11" s="55"/>
      <c r="AW11" s="55"/>
      <c r="AX11" s="58"/>
      <c r="AY11" s="59"/>
      <c r="AZ11" s="60"/>
      <c r="BA11" s="60"/>
      <c r="BB11" s="60"/>
      <c r="BC11" s="60"/>
      <c r="BD11" s="60"/>
      <c r="BE11" s="61"/>
      <c r="BF11" s="60" t="str">
        <f t="shared" si="6"/>
        <v>Sí</v>
      </c>
      <c r="BG11" s="68" t="str">
        <f t="shared" si="7"/>
        <v>CPW01, G102K</v>
      </c>
      <c r="BH11" s="60" t="s">
        <v>62</v>
      </c>
      <c r="BI11" s="60" t="str">
        <f t="shared" si="8"/>
        <v>Ejecutado</v>
      </c>
      <c r="BJ11" s="54">
        <v>46211</v>
      </c>
      <c r="BK11" s="63" t="s">
        <v>69</v>
      </c>
    </row>
    <row r="12" spans="1:75" x14ac:dyDescent="0.3">
      <c r="A12" s="52"/>
      <c r="B12" s="53"/>
      <c r="C12" s="54">
        <v>46212</v>
      </c>
      <c r="D12" s="55">
        <f t="shared" si="0"/>
        <v>0</v>
      </c>
      <c r="E12" s="55" t="str">
        <f t="shared" si="1"/>
        <v/>
      </c>
      <c r="F12" s="55"/>
      <c r="G12" s="55" t="str">
        <f t="shared" si="2"/>
        <v/>
      </c>
      <c r="H12" s="55"/>
      <c r="I12" s="55" t="str">
        <f t="shared" si="3"/>
        <v/>
      </c>
      <c r="J12" s="55"/>
      <c r="K12" s="55" t="s">
        <v>61</v>
      </c>
      <c r="L12" s="55"/>
      <c r="M12" s="55" t="str">
        <f t="shared" si="4"/>
        <v/>
      </c>
      <c r="N12" s="55"/>
      <c r="O12" s="56"/>
      <c r="P12" s="56"/>
      <c r="Q12" s="56"/>
      <c r="R12" s="56"/>
      <c r="S12" s="55"/>
      <c r="T12" s="55"/>
      <c r="U12" s="56"/>
      <c r="V12" s="56"/>
      <c r="W12" s="56"/>
      <c r="X12" s="56"/>
      <c r="Y12" s="55" t="str">
        <f t="shared" si="5"/>
        <v/>
      </c>
      <c r="Z12" s="55"/>
      <c r="AA12" s="55"/>
      <c r="AB12" s="55"/>
      <c r="AC12" s="56"/>
      <c r="AD12" s="56"/>
      <c r="AE12" s="57"/>
      <c r="AF12" s="57"/>
      <c r="AG12" s="57"/>
      <c r="AH12" s="57"/>
      <c r="AI12" s="57"/>
      <c r="AJ12" s="57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8"/>
      <c r="AY12" s="59"/>
      <c r="AZ12" s="60"/>
      <c r="BA12" s="60"/>
      <c r="BB12" s="60"/>
      <c r="BC12" s="60"/>
      <c r="BD12" s="60"/>
      <c r="BE12" s="61"/>
      <c r="BF12" s="60" t="str">
        <f t="shared" si="6"/>
        <v>No</v>
      </c>
      <c r="BG12" s="66" t="str">
        <f t="shared" si="7"/>
        <v/>
      </c>
      <c r="BH12" s="60"/>
      <c r="BI12" s="60" t="str">
        <f t="shared" si="8"/>
        <v>No aplica</v>
      </c>
      <c r="BJ12" s="54"/>
      <c r="BK12" s="63"/>
    </row>
    <row r="13" spans="1:75" x14ac:dyDescent="0.3">
      <c r="A13" s="52"/>
      <c r="B13" s="53"/>
      <c r="C13" s="54">
        <v>46213</v>
      </c>
      <c r="D13" s="55">
        <f t="shared" si="0"/>
        <v>48</v>
      </c>
      <c r="E13" s="69">
        <v>24</v>
      </c>
      <c r="F13" s="55">
        <v>48</v>
      </c>
      <c r="G13" s="55" t="str">
        <f t="shared" si="2"/>
        <v/>
      </c>
      <c r="H13" s="55"/>
      <c r="I13" s="55" t="str">
        <f t="shared" si="3"/>
        <v/>
      </c>
      <c r="J13" s="55"/>
      <c r="K13" s="55" t="s">
        <v>61</v>
      </c>
      <c r="L13" s="55"/>
      <c r="M13" s="55" t="str">
        <f t="shared" si="4"/>
        <v/>
      </c>
      <c r="N13" s="55"/>
      <c r="O13" s="56"/>
      <c r="P13" s="56"/>
      <c r="Q13" s="56"/>
      <c r="R13" s="56"/>
      <c r="S13" s="55"/>
      <c r="T13" s="55"/>
      <c r="U13" s="56"/>
      <c r="V13" s="56"/>
      <c r="W13" s="56"/>
      <c r="X13" s="56"/>
      <c r="Y13" s="55" t="str">
        <f t="shared" si="5"/>
        <v/>
      </c>
      <c r="Z13" s="55"/>
      <c r="AA13" s="55"/>
      <c r="AB13" s="55"/>
      <c r="AC13" s="56"/>
      <c r="AD13" s="56"/>
      <c r="AE13" s="57"/>
      <c r="AF13" s="57"/>
      <c r="AG13" s="57"/>
      <c r="AH13" s="57"/>
      <c r="AI13" s="57"/>
      <c r="AJ13" s="57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8"/>
      <c r="AY13" s="59"/>
      <c r="AZ13" s="60"/>
      <c r="BA13" s="60"/>
      <c r="BB13" s="60"/>
      <c r="BC13" s="60"/>
      <c r="BD13" s="60"/>
      <c r="BE13" s="61"/>
      <c r="BF13" s="60" t="str">
        <f t="shared" si="6"/>
        <v>Sí</v>
      </c>
      <c r="BG13" s="68" t="str">
        <f t="shared" si="7"/>
        <v xml:space="preserve">CPW02
</v>
      </c>
      <c r="BH13" s="60" t="s">
        <v>62</v>
      </c>
      <c r="BI13" s="60" t="str">
        <f t="shared" si="8"/>
        <v>Ejecutado</v>
      </c>
      <c r="BJ13" s="54">
        <v>46213</v>
      </c>
      <c r="BK13" s="63" t="s">
        <v>69</v>
      </c>
    </row>
    <row r="14" spans="1:75" x14ac:dyDescent="0.3">
      <c r="A14" s="52"/>
      <c r="B14" s="53"/>
      <c r="C14" s="54">
        <v>46214</v>
      </c>
      <c r="D14" s="55">
        <f t="shared" si="0"/>
        <v>48</v>
      </c>
      <c r="E14" s="69">
        <v>24</v>
      </c>
      <c r="F14" s="55">
        <v>48</v>
      </c>
      <c r="G14" s="55" t="str">
        <f t="shared" si="2"/>
        <v/>
      </c>
      <c r="H14" s="55"/>
      <c r="I14" s="55" t="str">
        <f t="shared" si="3"/>
        <v/>
      </c>
      <c r="J14" s="55"/>
      <c r="K14" s="55" t="s">
        <v>61</v>
      </c>
      <c r="L14" s="55"/>
      <c r="M14" s="55" t="str">
        <f t="shared" si="4"/>
        <v/>
      </c>
      <c r="N14" s="55"/>
      <c r="O14" s="56"/>
      <c r="P14" s="56"/>
      <c r="Q14" s="56"/>
      <c r="R14" s="56"/>
      <c r="S14" s="55"/>
      <c r="T14" s="55"/>
      <c r="U14" s="56"/>
      <c r="V14" s="56"/>
      <c r="W14" s="56"/>
      <c r="X14" s="56"/>
      <c r="Y14" s="55" t="str">
        <f t="shared" si="5"/>
        <v/>
      </c>
      <c r="Z14" s="55"/>
      <c r="AA14" s="55"/>
      <c r="AB14" s="55"/>
      <c r="AC14" s="56"/>
      <c r="AD14" s="56"/>
      <c r="AE14" s="57"/>
      <c r="AF14" s="57"/>
      <c r="AG14" s="57"/>
      <c r="AH14" s="57"/>
      <c r="AI14" s="57"/>
      <c r="AJ14" s="57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8"/>
      <c r="AY14" s="59"/>
      <c r="AZ14" s="60"/>
      <c r="BA14" s="60"/>
      <c r="BB14" s="60"/>
      <c r="BC14" s="60"/>
      <c r="BD14" s="60"/>
      <c r="BE14" s="61"/>
      <c r="BF14" s="60" t="str">
        <f t="shared" si="6"/>
        <v>Sí</v>
      </c>
      <c r="BG14" s="68" t="str">
        <f t="shared" si="7"/>
        <v xml:space="preserve">CPW02
</v>
      </c>
      <c r="BH14" s="60" t="s">
        <v>62</v>
      </c>
      <c r="BI14" s="60" t="str">
        <f t="shared" si="8"/>
        <v>Ejecutado</v>
      </c>
      <c r="BJ14" s="54">
        <v>46214</v>
      </c>
      <c r="BK14" s="63" t="s">
        <v>69</v>
      </c>
    </row>
    <row r="15" spans="1:75" x14ac:dyDescent="0.3">
      <c r="A15" s="52"/>
      <c r="B15" s="53"/>
      <c r="C15" s="54">
        <v>46215</v>
      </c>
      <c r="D15" s="55">
        <f t="shared" si="0"/>
        <v>0</v>
      </c>
      <c r="E15" s="55" t="str">
        <f t="shared" si="1"/>
        <v/>
      </c>
      <c r="F15" s="55"/>
      <c r="G15" s="55" t="str">
        <f t="shared" si="2"/>
        <v/>
      </c>
      <c r="H15" s="55"/>
      <c r="I15" s="55"/>
      <c r="J15" s="55"/>
      <c r="K15" s="55" t="s">
        <v>61</v>
      </c>
      <c r="L15" s="55"/>
      <c r="M15" s="55" t="str">
        <f t="shared" si="4"/>
        <v/>
      </c>
      <c r="N15" s="55"/>
      <c r="O15" s="56"/>
      <c r="P15" s="56"/>
      <c r="Q15" s="56"/>
      <c r="R15" s="56"/>
      <c r="S15" s="55"/>
      <c r="T15" s="55"/>
      <c r="U15" s="56"/>
      <c r="V15" s="56"/>
      <c r="W15" s="56"/>
      <c r="X15" s="56"/>
      <c r="Y15" s="55" t="str">
        <f t="shared" si="5"/>
        <v/>
      </c>
      <c r="Z15" s="55"/>
      <c r="AA15" s="55"/>
      <c r="AB15" s="55"/>
      <c r="AC15" s="56"/>
      <c r="AD15" s="56"/>
      <c r="AE15" s="57"/>
      <c r="AF15" s="57"/>
      <c r="AG15" s="57"/>
      <c r="AH15" s="57"/>
      <c r="AI15" s="57"/>
      <c r="AJ15" s="57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8"/>
      <c r="AY15" s="59"/>
      <c r="AZ15" s="60"/>
      <c r="BA15" s="60"/>
      <c r="BB15" s="60"/>
      <c r="BC15" s="60"/>
      <c r="BD15" s="60"/>
      <c r="BE15" s="61"/>
      <c r="BF15" s="60" t="str">
        <f t="shared" si="6"/>
        <v>No</v>
      </c>
      <c r="BG15" s="66" t="str">
        <f t="shared" si="7"/>
        <v/>
      </c>
      <c r="BH15" s="60" t="s">
        <v>62</v>
      </c>
      <c r="BI15" s="60" t="str">
        <f t="shared" si="8"/>
        <v>No aplica</v>
      </c>
      <c r="BJ15" s="54">
        <v>46216</v>
      </c>
      <c r="BK15" s="63" t="s">
        <v>70</v>
      </c>
    </row>
    <row r="16" spans="1:75" x14ac:dyDescent="0.3">
      <c r="A16" s="52"/>
      <c r="B16" s="53"/>
      <c r="C16" s="54">
        <v>46216</v>
      </c>
      <c r="D16" s="55">
        <f t="shared" si="0"/>
        <v>48</v>
      </c>
      <c r="E16" s="55" t="str">
        <f t="shared" si="1"/>
        <v/>
      </c>
      <c r="F16" s="55"/>
      <c r="G16" s="55" t="str">
        <f t="shared" si="2"/>
        <v/>
      </c>
      <c r="H16" s="55"/>
      <c r="I16" s="69">
        <v>24</v>
      </c>
      <c r="J16" s="55">
        <v>48</v>
      </c>
      <c r="K16" s="55" t="s">
        <v>61</v>
      </c>
      <c r="L16" s="55"/>
      <c r="M16" s="55" t="str">
        <f t="shared" si="4"/>
        <v/>
      </c>
      <c r="N16" s="55"/>
      <c r="O16" s="56"/>
      <c r="P16" s="56"/>
      <c r="Q16" s="56"/>
      <c r="R16" s="56"/>
      <c r="S16" s="55"/>
      <c r="T16" s="55"/>
      <c r="U16" s="56"/>
      <c r="V16" s="56"/>
      <c r="W16" s="56"/>
      <c r="X16" s="56"/>
      <c r="Y16" s="55" t="str">
        <f t="shared" si="5"/>
        <v/>
      </c>
      <c r="Z16" s="55"/>
      <c r="AA16" s="55"/>
      <c r="AB16" s="55"/>
      <c r="AC16" s="56"/>
      <c r="AD16" s="56"/>
      <c r="AE16" s="57"/>
      <c r="AF16" s="57"/>
      <c r="AG16" s="57"/>
      <c r="AH16" s="57"/>
      <c r="AI16" s="57"/>
      <c r="AJ16" s="57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8"/>
      <c r="AY16" s="59"/>
      <c r="AZ16" s="60"/>
      <c r="BA16" s="60"/>
      <c r="BB16" s="60"/>
      <c r="BC16" s="60"/>
      <c r="BD16" s="60"/>
      <c r="BE16" s="61"/>
      <c r="BF16" s="60" t="str">
        <f t="shared" si="6"/>
        <v>Sí</v>
      </c>
      <c r="BG16" s="68" t="str">
        <f t="shared" si="7"/>
        <v>CPW03</v>
      </c>
      <c r="BH16" s="60" t="s">
        <v>62</v>
      </c>
      <c r="BI16" s="60" t="str">
        <f t="shared" si="8"/>
        <v>Ejecutado</v>
      </c>
      <c r="BJ16" s="54">
        <v>46216</v>
      </c>
      <c r="BK16" s="63" t="s">
        <v>71</v>
      </c>
    </row>
    <row r="17" spans="1:63" x14ac:dyDescent="0.3">
      <c r="A17" s="52"/>
      <c r="B17" s="53"/>
      <c r="C17" s="54">
        <v>46217</v>
      </c>
      <c r="D17" s="55">
        <f t="shared" si="0"/>
        <v>68</v>
      </c>
      <c r="E17" s="55" t="str">
        <f t="shared" si="1"/>
        <v/>
      </c>
      <c r="F17" s="55"/>
      <c r="G17" s="55">
        <v>10</v>
      </c>
      <c r="H17" s="55">
        <v>20</v>
      </c>
      <c r="I17" s="69">
        <v>24</v>
      </c>
      <c r="J17" s="55">
        <v>48</v>
      </c>
      <c r="K17" s="55" t="s">
        <v>61</v>
      </c>
      <c r="L17" s="55"/>
      <c r="M17" s="55" t="str">
        <f t="shared" si="4"/>
        <v/>
      </c>
      <c r="N17" s="55"/>
      <c r="O17" s="56"/>
      <c r="P17" s="56"/>
      <c r="Q17" s="56"/>
      <c r="R17" s="56"/>
      <c r="S17" s="55"/>
      <c r="T17" s="55"/>
      <c r="U17" s="56"/>
      <c r="V17" s="56"/>
      <c r="W17" s="56"/>
      <c r="X17" s="56"/>
      <c r="Y17" s="55" t="str">
        <f t="shared" si="5"/>
        <v/>
      </c>
      <c r="Z17" s="55"/>
      <c r="AA17" s="55"/>
      <c r="AB17" s="55"/>
      <c r="AC17" s="56"/>
      <c r="AD17" s="56"/>
      <c r="AE17" s="57"/>
      <c r="AF17" s="57"/>
      <c r="AG17" s="57"/>
      <c r="AH17" s="57"/>
      <c r="AI17" s="57"/>
      <c r="AJ17" s="57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8"/>
      <c r="AY17" s="59"/>
      <c r="AZ17" s="60"/>
      <c r="BA17" s="60"/>
      <c r="BB17" s="60"/>
      <c r="BC17" s="60"/>
      <c r="BD17" s="60"/>
      <c r="BE17" s="61"/>
      <c r="BF17" s="60" t="str">
        <f t="shared" si="6"/>
        <v>Sí</v>
      </c>
      <c r="BG17" s="68" t="str">
        <f t="shared" si="7"/>
        <v>CPW01, CPW03</v>
      </c>
      <c r="BH17" s="60" t="s">
        <v>62</v>
      </c>
      <c r="BI17" s="60" t="str">
        <f t="shared" si="8"/>
        <v>Ejecutado</v>
      </c>
      <c r="BJ17" s="54">
        <v>46217</v>
      </c>
      <c r="BK17" s="63" t="s">
        <v>71</v>
      </c>
    </row>
    <row r="18" spans="1:63" x14ac:dyDescent="0.3">
      <c r="A18" s="52"/>
      <c r="B18" s="53"/>
      <c r="C18" s="54">
        <v>46218</v>
      </c>
      <c r="D18" s="55">
        <f t="shared" si="0"/>
        <v>20</v>
      </c>
      <c r="E18" s="55" t="str">
        <f t="shared" si="1"/>
        <v/>
      </c>
      <c r="F18" s="55"/>
      <c r="G18" s="55" t="str">
        <f t="shared" si="2"/>
        <v/>
      </c>
      <c r="H18" s="55"/>
      <c r="I18" s="55" t="str">
        <f t="shared" si="3"/>
        <v/>
      </c>
      <c r="J18" s="55"/>
      <c r="K18" s="55" t="s">
        <v>61</v>
      </c>
      <c r="L18" s="55"/>
      <c r="M18" s="55" t="str">
        <f t="shared" si="4"/>
        <v/>
      </c>
      <c r="N18" s="55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5">
        <v>10</v>
      </c>
      <c r="Z18" s="55">
        <v>20</v>
      </c>
      <c r="AA18" s="70"/>
      <c r="AB18" s="70"/>
      <c r="AC18" s="70"/>
      <c r="AD18" s="70"/>
      <c r="AE18" s="71"/>
      <c r="AF18" s="71"/>
      <c r="AG18" s="71"/>
      <c r="AH18" s="71"/>
      <c r="AI18" s="71"/>
      <c r="AJ18" s="71"/>
      <c r="AK18" s="70"/>
      <c r="AL18" s="70"/>
      <c r="AM18" s="70"/>
      <c r="AN18" s="70"/>
      <c r="AO18" s="70"/>
      <c r="AP18" s="70"/>
      <c r="AQ18" s="55"/>
      <c r="AR18" s="55"/>
      <c r="AS18" s="55"/>
      <c r="AT18" s="55"/>
      <c r="AU18" s="55"/>
      <c r="AV18" s="55"/>
      <c r="AW18" s="55"/>
      <c r="AX18" s="58"/>
      <c r="AY18" s="59"/>
      <c r="AZ18" s="60"/>
      <c r="BA18" s="60"/>
      <c r="BB18" s="60"/>
      <c r="BC18" s="60"/>
      <c r="BD18" s="60"/>
      <c r="BE18" s="61"/>
      <c r="BF18" s="60" t="str">
        <f t="shared" si="6"/>
        <v>Sí</v>
      </c>
      <c r="BG18" s="68" t="str">
        <f t="shared" si="7"/>
        <v>JINAN 01</v>
      </c>
      <c r="BH18" s="60" t="s">
        <v>62</v>
      </c>
      <c r="BI18" s="60" t="str">
        <f t="shared" si="8"/>
        <v>Ejecutado</v>
      </c>
      <c r="BJ18" s="54">
        <v>46206</v>
      </c>
      <c r="BK18" s="63" t="s">
        <v>72</v>
      </c>
    </row>
    <row r="19" spans="1:63" x14ac:dyDescent="0.3">
      <c r="A19" s="52"/>
      <c r="B19" s="53"/>
      <c r="C19" s="54">
        <v>46219</v>
      </c>
      <c r="D19" s="55">
        <f t="shared" si="0"/>
        <v>20</v>
      </c>
      <c r="E19" s="55" t="str">
        <f t="shared" si="1"/>
        <v/>
      </c>
      <c r="F19" s="55"/>
      <c r="G19" s="55" t="str">
        <f t="shared" si="2"/>
        <v/>
      </c>
      <c r="H19" s="55"/>
      <c r="I19" s="55" t="str">
        <f t="shared" si="3"/>
        <v/>
      </c>
      <c r="J19" s="55"/>
      <c r="K19" s="55" t="s">
        <v>61</v>
      </c>
      <c r="L19" s="55"/>
      <c r="M19" s="55" t="str">
        <f t="shared" si="4"/>
        <v/>
      </c>
      <c r="N19" s="55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>
        <f t="shared" ref="Y19:Y26" si="9">IF(MOD(C19-$C$4,15)=0,8,"")</f>
        <v>8</v>
      </c>
      <c r="Z19" s="56"/>
      <c r="AA19" s="55">
        <v>10</v>
      </c>
      <c r="AB19" s="55">
        <v>20</v>
      </c>
      <c r="AC19" s="56"/>
      <c r="AD19" s="56"/>
      <c r="AE19" s="57"/>
      <c r="AF19" s="57"/>
      <c r="AG19" s="57"/>
      <c r="AH19" s="57"/>
      <c r="AI19" s="57"/>
      <c r="AJ19" s="57"/>
      <c r="AK19" s="56"/>
      <c r="AL19" s="56"/>
      <c r="AM19" s="56"/>
      <c r="AN19" s="56"/>
      <c r="AO19" s="56"/>
      <c r="AP19" s="56"/>
      <c r="AQ19" s="55"/>
      <c r="AR19" s="55"/>
      <c r="AS19" s="55"/>
      <c r="AT19" s="55"/>
      <c r="AU19" s="55"/>
      <c r="AV19" s="55"/>
      <c r="AW19" s="55"/>
      <c r="AX19" s="58"/>
      <c r="AY19" s="59"/>
      <c r="AZ19" s="60"/>
      <c r="BA19" s="60"/>
      <c r="BB19" s="60"/>
      <c r="BC19" s="60"/>
      <c r="BD19" s="60"/>
      <c r="BE19" s="61"/>
      <c r="BF19" s="60" t="str">
        <f t="shared" si="6"/>
        <v>Sí</v>
      </c>
      <c r="BG19" s="68" t="str">
        <f t="shared" si="7"/>
        <v>JINAN 01, JINAN 02</v>
      </c>
      <c r="BH19" s="60" t="s">
        <v>62</v>
      </c>
      <c r="BI19" s="60" t="str">
        <f t="shared" si="8"/>
        <v>Ejecutado</v>
      </c>
      <c r="BJ19" s="54">
        <v>46224</v>
      </c>
      <c r="BK19" s="63" t="s">
        <v>73</v>
      </c>
    </row>
    <row r="20" spans="1:63" x14ac:dyDescent="0.3">
      <c r="A20" s="52"/>
      <c r="B20" s="53"/>
      <c r="C20" s="54">
        <v>46220</v>
      </c>
      <c r="D20" s="55">
        <f t="shared" si="0"/>
        <v>20</v>
      </c>
      <c r="E20" s="55" t="str">
        <f t="shared" si="1"/>
        <v/>
      </c>
      <c r="F20" s="55"/>
      <c r="G20" s="55" t="str">
        <f t="shared" si="2"/>
        <v/>
      </c>
      <c r="H20" s="55"/>
      <c r="I20" s="55" t="str">
        <f t="shared" si="3"/>
        <v/>
      </c>
      <c r="J20" s="55"/>
      <c r="K20" s="55" t="s">
        <v>61</v>
      </c>
      <c r="L20" s="55"/>
      <c r="M20" s="55" t="str">
        <f t="shared" si="4"/>
        <v/>
      </c>
      <c r="N20" s="55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 t="str">
        <f t="shared" si="9"/>
        <v/>
      </c>
      <c r="Z20" s="56"/>
      <c r="AA20" s="56"/>
      <c r="AB20" s="56"/>
      <c r="AC20" s="55">
        <v>10</v>
      </c>
      <c r="AD20" s="55">
        <v>20</v>
      </c>
      <c r="AE20" s="57"/>
      <c r="AF20" s="57"/>
      <c r="AG20" s="57"/>
      <c r="AH20" s="57"/>
      <c r="AI20" s="57"/>
      <c r="AJ20" s="57"/>
      <c r="AK20" s="56"/>
      <c r="AL20" s="56"/>
      <c r="AM20" s="56"/>
      <c r="AN20" s="56"/>
      <c r="AO20" s="56"/>
      <c r="AP20" s="56"/>
      <c r="AQ20" s="55"/>
      <c r="AR20" s="55"/>
      <c r="AS20" s="55"/>
      <c r="AT20" s="55"/>
      <c r="AU20" s="55"/>
      <c r="AV20" s="55"/>
      <c r="AW20" s="55"/>
      <c r="AX20" s="58"/>
      <c r="AY20" s="59"/>
      <c r="AZ20" s="60"/>
      <c r="BA20" s="60"/>
      <c r="BB20" s="60"/>
      <c r="BC20" s="60"/>
      <c r="BD20" s="60"/>
      <c r="BE20" s="61"/>
      <c r="BF20" s="60" t="str">
        <f t="shared" si="6"/>
        <v>Sí</v>
      </c>
      <c r="BG20" s="68" t="str">
        <f t="shared" si="7"/>
        <v>JINAN 03/JN 10</v>
      </c>
      <c r="BH20" s="60" t="s">
        <v>62</v>
      </c>
      <c r="BI20" s="60" t="str">
        <f t="shared" si="8"/>
        <v>Ejecutado</v>
      </c>
      <c r="BJ20" s="54">
        <v>46218</v>
      </c>
      <c r="BK20" s="63" t="s">
        <v>74</v>
      </c>
    </row>
    <row r="21" spans="1:63" x14ac:dyDescent="0.3">
      <c r="A21" s="52"/>
      <c r="B21" s="53"/>
      <c r="C21" s="54">
        <v>46221</v>
      </c>
      <c r="D21" s="55">
        <f t="shared" si="0"/>
        <v>0</v>
      </c>
      <c r="E21" s="55" t="str">
        <f t="shared" si="1"/>
        <v/>
      </c>
      <c r="F21" s="55"/>
      <c r="G21" s="55" t="str">
        <f t="shared" si="2"/>
        <v/>
      </c>
      <c r="H21" s="55"/>
      <c r="I21" s="55" t="str">
        <f t="shared" si="3"/>
        <v/>
      </c>
      <c r="J21" s="55"/>
      <c r="K21" s="55"/>
      <c r="L21" s="55"/>
      <c r="M21" s="55"/>
      <c r="N21" s="55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 t="str">
        <f t="shared" si="9"/>
        <v/>
      </c>
      <c r="Z21" s="56"/>
      <c r="AA21" s="56"/>
      <c r="AB21" s="56"/>
      <c r="AC21" s="56"/>
      <c r="AD21" s="56"/>
      <c r="AE21" s="57"/>
      <c r="AF21" s="57"/>
      <c r="AG21" s="57"/>
      <c r="AH21" s="57"/>
      <c r="AI21" s="57"/>
      <c r="AJ21" s="57"/>
      <c r="AK21" s="56"/>
      <c r="AL21" s="56"/>
      <c r="AM21" s="56"/>
      <c r="AN21" s="56"/>
      <c r="AO21" s="56"/>
      <c r="AP21" s="56"/>
      <c r="AQ21" s="55"/>
      <c r="AR21" s="55"/>
      <c r="AS21" s="55"/>
      <c r="AT21" s="55"/>
      <c r="AU21" s="55"/>
      <c r="AV21" s="55"/>
      <c r="AW21" s="55"/>
      <c r="AX21" s="58"/>
      <c r="AY21" s="59"/>
      <c r="AZ21" s="60"/>
      <c r="BA21" s="60"/>
      <c r="BB21" s="60"/>
      <c r="BC21" s="60"/>
      <c r="BD21" s="60"/>
      <c r="BE21" s="61"/>
      <c r="BF21" s="60" t="str">
        <f t="shared" si="6"/>
        <v>No</v>
      </c>
      <c r="BG21" s="66" t="str">
        <f t="shared" si="7"/>
        <v/>
      </c>
      <c r="BH21" s="60" t="s">
        <v>65</v>
      </c>
      <c r="BI21" s="60" t="str">
        <f t="shared" si="8"/>
        <v>No aplica</v>
      </c>
      <c r="BJ21" s="54"/>
      <c r="BK21" s="63"/>
    </row>
    <row r="22" spans="1:63" x14ac:dyDescent="0.3">
      <c r="A22" s="52"/>
      <c r="B22" s="53"/>
      <c r="C22" s="54">
        <v>46222</v>
      </c>
      <c r="D22" s="55">
        <f t="shared" si="0"/>
        <v>0</v>
      </c>
      <c r="E22" s="55" t="str">
        <f t="shared" si="1"/>
        <v/>
      </c>
      <c r="F22" s="55"/>
      <c r="G22" s="55" t="str">
        <f t="shared" si="2"/>
        <v/>
      </c>
      <c r="H22" s="55"/>
      <c r="I22" s="55" t="str">
        <f t="shared" si="3"/>
        <v/>
      </c>
      <c r="J22" s="55"/>
      <c r="K22" s="55" t="s">
        <v>61</v>
      </c>
      <c r="L22" s="55"/>
      <c r="M22" s="55"/>
      <c r="N22" s="55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 t="str">
        <f t="shared" si="9"/>
        <v/>
      </c>
      <c r="Z22" s="56"/>
      <c r="AA22" s="56"/>
      <c r="AB22" s="56"/>
      <c r="AC22" s="56"/>
      <c r="AD22" s="56"/>
      <c r="AE22" s="57"/>
      <c r="AF22" s="57"/>
      <c r="AG22" s="57"/>
      <c r="AH22" s="57"/>
      <c r="AI22" s="57"/>
      <c r="AJ22" s="57"/>
      <c r="AK22" s="56"/>
      <c r="AL22" s="56"/>
      <c r="AM22" s="56"/>
      <c r="AN22" s="56"/>
      <c r="AO22" s="56"/>
      <c r="AP22" s="56"/>
      <c r="AQ22" s="55"/>
      <c r="AR22" s="55"/>
      <c r="AS22" s="55"/>
      <c r="AT22" s="55"/>
      <c r="AU22" s="55"/>
      <c r="AV22" s="55"/>
      <c r="AW22" s="55"/>
      <c r="AX22" s="58"/>
      <c r="AY22" s="59"/>
      <c r="AZ22" s="60"/>
      <c r="BA22" s="60"/>
      <c r="BB22" s="60"/>
      <c r="BC22" s="60"/>
      <c r="BD22" s="60"/>
      <c r="BE22" s="61"/>
      <c r="BF22" s="60" t="str">
        <f t="shared" si="6"/>
        <v>No</v>
      </c>
      <c r="BG22" s="66" t="str">
        <f t="shared" si="7"/>
        <v/>
      </c>
      <c r="BH22" s="60"/>
      <c r="BI22" s="60" t="str">
        <f t="shared" si="8"/>
        <v>No aplica</v>
      </c>
      <c r="BJ22" s="54"/>
      <c r="BK22" s="63"/>
    </row>
    <row r="23" spans="1:63" x14ac:dyDescent="0.3">
      <c r="A23" s="52"/>
      <c r="B23" s="53"/>
      <c r="C23" s="54">
        <v>46223</v>
      </c>
      <c r="D23" s="55">
        <f t="shared" si="0"/>
        <v>0</v>
      </c>
      <c r="E23" s="55" t="str">
        <f t="shared" si="1"/>
        <v/>
      </c>
      <c r="F23" s="55"/>
      <c r="G23" s="55" t="str">
        <f t="shared" si="2"/>
        <v/>
      </c>
      <c r="H23" s="55"/>
      <c r="I23" s="55" t="str">
        <f t="shared" si="3"/>
        <v/>
      </c>
      <c r="J23" s="55"/>
      <c r="K23" s="55" t="s">
        <v>61</v>
      </c>
      <c r="L23" s="55"/>
      <c r="M23" s="55" t="str">
        <f t="shared" si="4"/>
        <v/>
      </c>
      <c r="N23" s="55"/>
      <c r="O23" s="56"/>
      <c r="P23" s="56"/>
      <c r="Q23" s="56"/>
      <c r="R23" s="56"/>
      <c r="S23" s="56"/>
      <c r="T23" s="56"/>
      <c r="U23" s="56">
        <v>12</v>
      </c>
      <c r="V23" s="56">
        <v>20</v>
      </c>
      <c r="W23" s="56"/>
      <c r="X23" s="56"/>
      <c r="Y23" s="56" t="str">
        <f t="shared" si="9"/>
        <v/>
      </c>
      <c r="Z23" s="56"/>
      <c r="AA23" s="56"/>
      <c r="AB23" s="56"/>
      <c r="AC23" s="56"/>
      <c r="AD23" s="56"/>
      <c r="AE23" s="57"/>
      <c r="AF23" s="57"/>
      <c r="AG23" s="57"/>
      <c r="AH23" s="57"/>
      <c r="AI23" s="57"/>
      <c r="AJ23" s="57"/>
      <c r="AK23" s="56"/>
      <c r="AL23" s="56"/>
      <c r="AM23" s="56"/>
      <c r="AN23" s="56"/>
      <c r="AO23" s="56"/>
      <c r="AP23" s="56"/>
      <c r="AQ23" s="55"/>
      <c r="AR23" s="55"/>
      <c r="AS23" s="55"/>
      <c r="AT23" s="55"/>
      <c r="AU23" s="55"/>
      <c r="AV23" s="55"/>
      <c r="AW23" s="55"/>
      <c r="AX23" s="58"/>
      <c r="AY23" s="59"/>
      <c r="AZ23" s="60"/>
      <c r="BA23" s="60"/>
      <c r="BB23" s="60"/>
      <c r="BC23" s="60"/>
      <c r="BD23" s="60"/>
      <c r="BE23" s="61"/>
      <c r="BF23" s="60" t="str">
        <f t="shared" si="6"/>
        <v>Sí</v>
      </c>
      <c r="BG23" s="68" t="str">
        <f t="shared" si="7"/>
        <v>CPW11</v>
      </c>
      <c r="BH23" s="60" t="s">
        <v>62</v>
      </c>
      <c r="BI23" s="60" t="str">
        <f t="shared" si="8"/>
        <v>Ejecutado</v>
      </c>
      <c r="BJ23" s="54"/>
      <c r="BK23" s="63"/>
    </row>
    <row r="24" spans="1:63" x14ac:dyDescent="0.3">
      <c r="A24" s="52"/>
      <c r="B24" s="53"/>
      <c r="C24" s="54">
        <v>46224</v>
      </c>
      <c r="D24" s="55">
        <f t="shared" si="0"/>
        <v>20</v>
      </c>
      <c r="E24" s="55" t="str">
        <f t="shared" si="1"/>
        <v/>
      </c>
      <c r="F24" s="55"/>
      <c r="G24" s="55" t="str">
        <f t="shared" si="2"/>
        <v/>
      </c>
      <c r="H24" s="55"/>
      <c r="I24" s="55" t="str">
        <f t="shared" si="3"/>
        <v/>
      </c>
      <c r="J24" s="55"/>
      <c r="K24" s="55" t="s">
        <v>61</v>
      </c>
      <c r="L24" s="55"/>
      <c r="M24" s="55" t="str">
        <f t="shared" si="4"/>
        <v/>
      </c>
      <c r="N24" s="55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 t="str">
        <f t="shared" si="9"/>
        <v/>
      </c>
      <c r="Z24" s="56"/>
      <c r="AA24" s="56"/>
      <c r="AB24" s="56"/>
      <c r="AC24" s="56"/>
      <c r="AD24" s="56"/>
      <c r="AE24" s="57"/>
      <c r="AF24" s="57"/>
      <c r="AG24" s="57"/>
      <c r="AH24" s="57"/>
      <c r="AI24" s="57"/>
      <c r="AJ24" s="57"/>
      <c r="AK24" s="55">
        <v>10</v>
      </c>
      <c r="AL24" s="55">
        <v>20</v>
      </c>
      <c r="AM24" s="56"/>
      <c r="AN24" s="56"/>
      <c r="AO24" s="56"/>
      <c r="AP24" s="56"/>
      <c r="AQ24" s="55"/>
      <c r="AR24" s="55"/>
      <c r="AS24" s="55"/>
      <c r="AT24" s="55"/>
      <c r="AU24" s="55"/>
      <c r="AV24" s="55"/>
      <c r="AW24" s="55"/>
      <c r="AX24" s="58"/>
      <c r="AY24" s="59"/>
      <c r="AZ24" s="60"/>
      <c r="BA24" s="60"/>
      <c r="BB24" s="60"/>
      <c r="BC24" s="60"/>
      <c r="BD24" s="60"/>
      <c r="BE24" s="61"/>
      <c r="BF24" s="60" t="str">
        <f t="shared" si="6"/>
        <v>Sí</v>
      </c>
      <c r="BG24" s="68" t="str">
        <f t="shared" si="7"/>
        <v>G 101 V</v>
      </c>
      <c r="BH24" s="60" t="s">
        <v>62</v>
      </c>
      <c r="BI24" s="60" t="str">
        <f t="shared" si="8"/>
        <v>Ejecutado</v>
      </c>
      <c r="BJ24" s="54">
        <v>46316</v>
      </c>
      <c r="BK24" s="63" t="s">
        <v>75</v>
      </c>
    </row>
    <row r="25" spans="1:63" x14ac:dyDescent="0.3">
      <c r="A25" s="52"/>
      <c r="B25" s="53"/>
      <c r="C25" s="54">
        <v>46225</v>
      </c>
      <c r="D25" s="55">
        <f t="shared" si="0"/>
        <v>20</v>
      </c>
      <c r="E25" s="55" t="str">
        <f t="shared" si="1"/>
        <v/>
      </c>
      <c r="F25" s="55"/>
      <c r="G25" s="55" t="str">
        <f t="shared" si="2"/>
        <v/>
      </c>
      <c r="H25" s="55"/>
      <c r="I25" s="55" t="str">
        <f t="shared" si="3"/>
        <v/>
      </c>
      <c r="J25" s="55"/>
      <c r="K25" s="55" t="s">
        <v>61</v>
      </c>
      <c r="L25" s="55"/>
      <c r="M25" s="55" t="str">
        <f t="shared" si="4"/>
        <v/>
      </c>
      <c r="N25" s="55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 t="str">
        <f t="shared" si="9"/>
        <v/>
      </c>
      <c r="Z25" s="56"/>
      <c r="AA25" s="56"/>
      <c r="AB25" s="56"/>
      <c r="AC25" s="56"/>
      <c r="AD25" s="56"/>
      <c r="AE25" s="57"/>
      <c r="AF25" s="57"/>
      <c r="AG25" s="57"/>
      <c r="AH25" s="57"/>
      <c r="AI25" s="57"/>
      <c r="AJ25" s="57"/>
      <c r="AK25" s="56"/>
      <c r="AL25" s="56"/>
      <c r="AM25" s="55">
        <v>10</v>
      </c>
      <c r="AN25" s="55">
        <v>20</v>
      </c>
      <c r="AO25" s="56"/>
      <c r="AP25" s="56"/>
      <c r="AQ25" s="55"/>
      <c r="AR25" s="55"/>
      <c r="AS25" s="55"/>
      <c r="AT25" s="55"/>
      <c r="AU25" s="55"/>
      <c r="AV25" s="55"/>
      <c r="AW25" s="55"/>
      <c r="AX25" s="58"/>
      <c r="AY25" s="59"/>
      <c r="AZ25" s="60"/>
      <c r="BA25" s="60"/>
      <c r="BB25" s="60"/>
      <c r="BC25" s="60"/>
      <c r="BD25" s="60"/>
      <c r="BE25" s="61"/>
      <c r="BF25" s="60" t="str">
        <f t="shared" si="6"/>
        <v>Sí</v>
      </c>
      <c r="BG25" s="68" t="str">
        <f t="shared" si="7"/>
        <v>G102 J</v>
      </c>
      <c r="BH25" s="60" t="s">
        <v>62</v>
      </c>
      <c r="BI25" s="60" t="str">
        <f t="shared" si="8"/>
        <v>Ejecutado</v>
      </c>
      <c r="BJ25" s="54">
        <v>46225</v>
      </c>
      <c r="BK25" s="63" t="s">
        <v>76</v>
      </c>
    </row>
    <row r="26" spans="1:63" x14ac:dyDescent="0.3">
      <c r="A26" s="52"/>
      <c r="B26" s="53"/>
      <c r="C26" s="54">
        <v>46226</v>
      </c>
      <c r="D26" s="55">
        <f t="shared" si="0"/>
        <v>20</v>
      </c>
      <c r="E26" s="55" t="str">
        <f t="shared" si="1"/>
        <v/>
      </c>
      <c r="F26" s="55"/>
      <c r="G26" s="55" t="str">
        <f t="shared" si="2"/>
        <v/>
      </c>
      <c r="H26" s="55"/>
      <c r="I26" s="55" t="str">
        <f t="shared" si="3"/>
        <v/>
      </c>
      <c r="J26" s="55"/>
      <c r="K26" s="55" t="s">
        <v>61</v>
      </c>
      <c r="L26" s="55"/>
      <c r="M26" s="55" t="str">
        <f t="shared" si="4"/>
        <v/>
      </c>
      <c r="N26" s="55"/>
      <c r="O26" s="56"/>
      <c r="P26" s="56"/>
      <c r="Q26" s="56"/>
      <c r="R26" s="56"/>
      <c r="S26" s="56">
        <v>10</v>
      </c>
      <c r="T26" s="56">
        <v>20</v>
      </c>
      <c r="U26" s="56"/>
      <c r="V26" s="56"/>
      <c r="W26" s="56"/>
      <c r="X26" s="56"/>
      <c r="Y26" s="56" t="str">
        <f t="shared" si="9"/>
        <v/>
      </c>
      <c r="Z26" s="56"/>
      <c r="AA26" s="56"/>
      <c r="AB26" s="56"/>
      <c r="AC26" s="56"/>
      <c r="AD26" s="56"/>
      <c r="AE26" s="57"/>
      <c r="AF26" s="57"/>
      <c r="AG26" s="57"/>
      <c r="AH26" s="57"/>
      <c r="AI26" s="57"/>
      <c r="AJ26" s="57"/>
      <c r="AK26" s="56"/>
      <c r="AL26" s="56"/>
      <c r="AM26" s="56"/>
      <c r="AN26" s="56"/>
      <c r="AO26" s="55">
        <v>10</v>
      </c>
      <c r="AP26" s="55">
        <v>20</v>
      </c>
      <c r="AQ26" s="55"/>
      <c r="AR26" s="55"/>
      <c r="AS26" s="55"/>
      <c r="AT26" s="55"/>
      <c r="AU26" s="55"/>
      <c r="AV26" s="55"/>
      <c r="AW26" s="55"/>
      <c r="AX26" s="58"/>
      <c r="AY26" s="59"/>
      <c r="AZ26" s="60"/>
      <c r="BA26" s="60"/>
      <c r="BB26" s="60"/>
      <c r="BC26" s="60"/>
      <c r="BD26" s="60"/>
      <c r="BE26" s="61"/>
      <c r="BF26" s="60" t="str">
        <f t="shared" si="6"/>
        <v>Sí</v>
      </c>
      <c r="BG26" s="68" t="str">
        <f t="shared" si="7"/>
        <v>CPW 10, G102K</v>
      </c>
      <c r="BH26" s="60" t="s">
        <v>62</v>
      </c>
      <c r="BI26" s="60" t="str">
        <f t="shared" si="8"/>
        <v>Ejecutado</v>
      </c>
      <c r="BJ26" s="54"/>
      <c r="BK26" s="63"/>
    </row>
    <row r="27" spans="1:63" x14ac:dyDescent="0.3">
      <c r="A27" s="52"/>
      <c r="B27" s="53"/>
      <c r="C27" s="54">
        <v>46227</v>
      </c>
      <c r="D27" s="55">
        <f t="shared" si="0"/>
        <v>0</v>
      </c>
      <c r="E27" s="55" t="str">
        <f t="shared" si="1"/>
        <v/>
      </c>
      <c r="F27" s="55"/>
      <c r="G27" s="55" t="str">
        <f t="shared" si="2"/>
        <v/>
      </c>
      <c r="H27" s="55"/>
      <c r="I27" s="55" t="str">
        <f t="shared" si="3"/>
        <v/>
      </c>
      <c r="J27" s="55"/>
      <c r="K27" s="55" t="s">
        <v>61</v>
      </c>
      <c r="L27" s="55"/>
      <c r="M27" s="55" t="str">
        <f t="shared" si="4"/>
        <v/>
      </c>
      <c r="N27" s="55"/>
      <c r="O27" s="56"/>
      <c r="P27" s="56"/>
      <c r="Q27" s="56"/>
      <c r="R27" s="56"/>
      <c r="S27" s="55"/>
      <c r="T27" s="55"/>
      <c r="U27" s="56"/>
      <c r="V27" s="56"/>
      <c r="W27" s="56"/>
      <c r="X27" s="56"/>
      <c r="Y27" s="55"/>
      <c r="Z27" s="55"/>
      <c r="AA27" s="55"/>
      <c r="AB27" s="55"/>
      <c r="AC27" s="56"/>
      <c r="AD27" s="56"/>
      <c r="AE27" s="57"/>
      <c r="AF27" s="57"/>
      <c r="AG27" s="57"/>
      <c r="AH27" s="57"/>
      <c r="AI27" s="57"/>
      <c r="AJ27" s="57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8"/>
      <c r="AY27" s="59"/>
      <c r="AZ27" s="60"/>
      <c r="BA27" s="60"/>
      <c r="BB27" s="60"/>
      <c r="BC27" s="60"/>
      <c r="BD27" s="60"/>
      <c r="BE27" s="61"/>
      <c r="BF27" s="60" t="str">
        <f t="shared" si="6"/>
        <v>No</v>
      </c>
      <c r="BG27" s="66" t="str">
        <f t="shared" si="7"/>
        <v/>
      </c>
      <c r="BH27" s="60"/>
      <c r="BI27" s="60" t="str">
        <f t="shared" si="8"/>
        <v>No aplica</v>
      </c>
      <c r="BJ27" s="54"/>
      <c r="BK27" s="63"/>
    </row>
    <row r="28" spans="1:63" x14ac:dyDescent="0.3">
      <c r="A28" s="52"/>
      <c r="B28" s="53"/>
      <c r="C28" s="54">
        <v>46228</v>
      </c>
      <c r="D28" s="55">
        <f t="shared" si="0"/>
        <v>0</v>
      </c>
      <c r="E28" s="55" t="str">
        <f t="shared" si="1"/>
        <v/>
      </c>
      <c r="F28" s="55"/>
      <c r="G28" s="55" t="str">
        <f t="shared" si="2"/>
        <v/>
      </c>
      <c r="H28" s="55"/>
      <c r="I28" s="55"/>
      <c r="J28" s="55"/>
      <c r="K28" s="55" t="s">
        <v>61</v>
      </c>
      <c r="L28" s="55"/>
      <c r="M28" s="55" t="str">
        <f t="shared" si="4"/>
        <v/>
      </c>
      <c r="N28" s="55"/>
      <c r="O28" s="56"/>
      <c r="P28" s="56"/>
      <c r="Q28" s="56"/>
      <c r="R28" s="56"/>
      <c r="S28" s="55"/>
      <c r="T28" s="55"/>
      <c r="U28" s="56"/>
      <c r="V28" s="56"/>
      <c r="W28" s="56"/>
      <c r="X28" s="56"/>
      <c r="Y28" s="55" t="str">
        <f t="shared" si="5"/>
        <v/>
      </c>
      <c r="Z28" s="55"/>
      <c r="AA28" s="55"/>
      <c r="AB28" s="55"/>
      <c r="AC28" s="56"/>
      <c r="AD28" s="56"/>
      <c r="AE28" s="57"/>
      <c r="AF28" s="57"/>
      <c r="AG28" s="57"/>
      <c r="AH28" s="57"/>
      <c r="AI28" s="57"/>
      <c r="AJ28" s="57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8"/>
      <c r="AY28" s="59"/>
      <c r="AZ28" s="60"/>
      <c r="BA28" s="60"/>
      <c r="BB28" s="60"/>
      <c r="BC28" s="60"/>
      <c r="BD28" s="60"/>
      <c r="BE28" s="61"/>
      <c r="BF28" s="60" t="str">
        <f t="shared" si="6"/>
        <v>No</v>
      </c>
      <c r="BG28" s="66" t="str">
        <f t="shared" si="7"/>
        <v/>
      </c>
      <c r="BH28" s="60"/>
      <c r="BI28" s="60" t="str">
        <f t="shared" si="8"/>
        <v>No aplica</v>
      </c>
      <c r="BJ28" s="54"/>
      <c r="BK28" s="63"/>
    </row>
    <row r="29" spans="1:63" x14ac:dyDescent="0.3">
      <c r="A29" s="52"/>
      <c r="B29" s="53"/>
      <c r="C29" s="54">
        <v>46229</v>
      </c>
      <c r="D29" s="55">
        <f t="shared" si="0"/>
        <v>0</v>
      </c>
      <c r="E29" s="55" t="str">
        <f t="shared" si="1"/>
        <v/>
      </c>
      <c r="F29" s="55"/>
      <c r="G29" s="55" t="str">
        <f t="shared" si="2"/>
        <v/>
      </c>
      <c r="H29" s="55"/>
      <c r="I29" s="55" t="str">
        <f t="shared" si="3"/>
        <v/>
      </c>
      <c r="J29" s="55"/>
      <c r="K29" s="55" t="s">
        <v>61</v>
      </c>
      <c r="L29" s="55"/>
      <c r="M29" s="55" t="str">
        <f t="shared" si="4"/>
        <v/>
      </c>
      <c r="N29" s="55"/>
      <c r="O29" s="56"/>
      <c r="P29" s="56"/>
      <c r="Q29" s="56"/>
      <c r="R29" s="56"/>
      <c r="S29" s="55"/>
      <c r="T29" s="55"/>
      <c r="U29" s="56"/>
      <c r="V29" s="56"/>
      <c r="W29" s="56"/>
      <c r="X29" s="56"/>
      <c r="Y29" s="55" t="str">
        <f t="shared" si="5"/>
        <v/>
      </c>
      <c r="Z29" s="55"/>
      <c r="AA29" s="55"/>
      <c r="AB29" s="55"/>
      <c r="AC29" s="56"/>
      <c r="AD29" s="56"/>
      <c r="AE29" s="57"/>
      <c r="AF29" s="57"/>
      <c r="AG29" s="57"/>
      <c r="AH29" s="57"/>
      <c r="AI29" s="57"/>
      <c r="AJ29" s="57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8"/>
      <c r="AY29" s="59"/>
      <c r="AZ29" s="60"/>
      <c r="BA29" s="60"/>
      <c r="BB29" s="60"/>
      <c r="BC29" s="60"/>
      <c r="BD29" s="60"/>
      <c r="BE29" s="61"/>
      <c r="BF29" s="60" t="str">
        <f t="shared" si="6"/>
        <v>No</v>
      </c>
      <c r="BG29" s="66" t="str">
        <f t="shared" si="7"/>
        <v/>
      </c>
      <c r="BH29" s="60"/>
      <c r="BI29" s="60" t="str">
        <f t="shared" si="8"/>
        <v>No aplica</v>
      </c>
      <c r="BJ29" s="54"/>
      <c r="BK29" s="63"/>
    </row>
    <row r="30" spans="1:63" x14ac:dyDescent="0.3">
      <c r="A30" s="52"/>
      <c r="B30" s="53"/>
      <c r="C30" s="54">
        <v>46230</v>
      </c>
      <c r="D30" s="55">
        <f t="shared" si="0"/>
        <v>0</v>
      </c>
      <c r="E30" s="55" t="str">
        <f t="shared" si="1"/>
        <v/>
      </c>
      <c r="F30" s="55"/>
      <c r="G30" s="55"/>
      <c r="H30" s="55"/>
      <c r="I30" s="55" t="str">
        <f t="shared" si="3"/>
        <v/>
      </c>
      <c r="J30" s="55"/>
      <c r="K30" s="55" t="s">
        <v>61</v>
      </c>
      <c r="L30" s="55"/>
      <c r="M30" s="55" t="str">
        <f t="shared" si="4"/>
        <v/>
      </c>
      <c r="N30" s="55"/>
      <c r="O30" s="56"/>
      <c r="P30" s="56"/>
      <c r="Q30" s="56"/>
      <c r="R30" s="56"/>
      <c r="S30" s="55"/>
      <c r="T30" s="55"/>
      <c r="U30" s="56"/>
      <c r="V30" s="56"/>
      <c r="W30" s="55">
        <v>10</v>
      </c>
      <c r="X30" s="55">
        <v>20</v>
      </c>
      <c r="Y30" s="55" t="str">
        <f t="shared" si="5"/>
        <v/>
      </c>
      <c r="Z30" s="55"/>
      <c r="AA30" s="55"/>
      <c r="AB30" s="55"/>
      <c r="AC30" s="56"/>
      <c r="AD30" s="56"/>
      <c r="AE30" s="57"/>
      <c r="AF30" s="57"/>
      <c r="AG30" s="57"/>
      <c r="AH30" s="57"/>
      <c r="AI30" s="57"/>
      <c r="AJ30" s="57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8"/>
      <c r="AY30" s="59"/>
      <c r="AZ30" s="60"/>
      <c r="BA30" s="60"/>
      <c r="BB30" s="60"/>
      <c r="BC30" s="60"/>
      <c r="BD30" s="60"/>
      <c r="BE30" s="61"/>
      <c r="BF30" s="60" t="str">
        <f t="shared" si="6"/>
        <v>Sí</v>
      </c>
      <c r="BG30" s="68" t="str">
        <f t="shared" si="7"/>
        <v>CPW12</v>
      </c>
      <c r="BH30" s="60" t="s">
        <v>62</v>
      </c>
      <c r="BI30" s="60" t="str">
        <f t="shared" si="8"/>
        <v>Ejecutado</v>
      </c>
      <c r="BJ30" s="54">
        <v>46230</v>
      </c>
      <c r="BK30" s="63" t="s">
        <v>77</v>
      </c>
    </row>
    <row r="31" spans="1:63" x14ac:dyDescent="0.3">
      <c r="A31" s="52"/>
      <c r="B31" s="53"/>
      <c r="C31" s="54">
        <v>46231</v>
      </c>
      <c r="D31" s="55">
        <f t="shared" si="0"/>
        <v>0</v>
      </c>
      <c r="E31" s="55" t="str">
        <f t="shared" si="1"/>
        <v/>
      </c>
      <c r="F31" s="55"/>
      <c r="G31" s="55" t="str">
        <f t="shared" si="2"/>
        <v/>
      </c>
      <c r="H31" s="55"/>
      <c r="I31" s="55" t="str">
        <f t="shared" si="3"/>
        <v/>
      </c>
      <c r="J31" s="55"/>
      <c r="K31" s="55" t="s">
        <v>61</v>
      </c>
      <c r="L31" s="55"/>
      <c r="M31" s="55" t="str">
        <f t="shared" si="4"/>
        <v/>
      </c>
      <c r="N31" s="55"/>
      <c r="O31" s="56"/>
      <c r="P31" s="56"/>
      <c r="Q31" s="56"/>
      <c r="R31" s="56"/>
      <c r="S31" s="55"/>
      <c r="T31" s="55"/>
      <c r="U31" s="56"/>
      <c r="V31" s="56"/>
      <c r="W31" s="56"/>
      <c r="X31" s="56"/>
      <c r="Y31" s="55" t="str">
        <f t="shared" si="5"/>
        <v/>
      </c>
      <c r="Z31" s="55"/>
      <c r="AA31" s="55"/>
      <c r="AB31" s="55"/>
      <c r="AC31" s="56"/>
      <c r="AD31" s="56"/>
      <c r="AE31" s="57"/>
      <c r="AF31" s="57"/>
      <c r="AG31" s="57"/>
      <c r="AH31" s="57"/>
      <c r="AI31" s="57"/>
      <c r="AJ31" s="57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8"/>
      <c r="AY31" s="59"/>
      <c r="AZ31" s="60"/>
      <c r="BA31" s="60"/>
      <c r="BB31" s="60"/>
      <c r="BC31" s="60"/>
      <c r="BD31" s="60"/>
      <c r="BE31" s="61"/>
      <c r="BF31" s="60" t="str">
        <f t="shared" si="6"/>
        <v>No</v>
      </c>
      <c r="BG31" s="66" t="str">
        <f t="shared" si="7"/>
        <v/>
      </c>
      <c r="BH31" s="60"/>
      <c r="BI31" s="60" t="str">
        <f t="shared" si="8"/>
        <v>No aplica</v>
      </c>
      <c r="BJ31" s="54"/>
      <c r="BK31" s="63"/>
    </row>
    <row r="32" spans="1:63" x14ac:dyDescent="0.3">
      <c r="A32" s="52"/>
      <c r="B32" s="53"/>
      <c r="C32" s="54">
        <v>46232</v>
      </c>
      <c r="D32" s="55">
        <f t="shared" si="0"/>
        <v>0</v>
      </c>
      <c r="E32" s="55" t="str">
        <f t="shared" si="1"/>
        <v/>
      </c>
      <c r="F32" s="55"/>
      <c r="G32" s="55" t="str">
        <f t="shared" si="2"/>
        <v/>
      </c>
      <c r="H32" s="55"/>
      <c r="I32" s="55" t="str">
        <f t="shared" si="3"/>
        <v/>
      </c>
      <c r="J32" s="55"/>
      <c r="K32" s="55" t="s">
        <v>61</v>
      </c>
      <c r="L32" s="55"/>
      <c r="M32" s="55" t="str">
        <f t="shared" si="4"/>
        <v/>
      </c>
      <c r="N32" s="55"/>
      <c r="O32" s="56"/>
      <c r="P32" s="56"/>
      <c r="Q32" s="56"/>
      <c r="R32" s="56"/>
      <c r="S32" s="55"/>
      <c r="T32" s="55"/>
      <c r="U32" s="56"/>
      <c r="V32" s="56"/>
      <c r="W32" s="56"/>
      <c r="X32" s="56"/>
      <c r="Y32" s="55" t="str">
        <f t="shared" si="5"/>
        <v/>
      </c>
      <c r="Z32" s="55"/>
      <c r="AA32" s="55"/>
      <c r="AB32" s="55"/>
      <c r="AC32" s="56"/>
      <c r="AD32" s="56"/>
      <c r="AE32" s="57"/>
      <c r="AF32" s="57"/>
      <c r="AG32" s="57"/>
      <c r="AH32" s="57"/>
      <c r="AI32" s="57"/>
      <c r="AJ32" s="57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8"/>
      <c r="AY32" s="59"/>
      <c r="AZ32" s="60"/>
      <c r="BA32" s="60"/>
      <c r="BB32" s="60"/>
      <c r="BC32" s="60"/>
      <c r="BD32" s="60"/>
      <c r="BE32" s="61"/>
      <c r="BF32" s="60" t="str">
        <f t="shared" si="6"/>
        <v>No</v>
      </c>
      <c r="BG32" s="66" t="str">
        <f t="shared" si="7"/>
        <v/>
      </c>
      <c r="BH32" s="60"/>
      <c r="BI32" s="60" t="str">
        <f t="shared" si="8"/>
        <v>No aplica</v>
      </c>
      <c r="BJ32" s="54"/>
      <c r="BK32" s="63"/>
    </row>
    <row r="33" spans="1:63" ht="27.6" x14ac:dyDescent="0.3">
      <c r="A33" s="52"/>
      <c r="B33" s="53"/>
      <c r="C33" s="54">
        <v>46233</v>
      </c>
      <c r="D33" s="55">
        <f t="shared" si="0"/>
        <v>20</v>
      </c>
      <c r="E33" s="55"/>
      <c r="F33" s="55"/>
      <c r="G33" s="55" t="str">
        <f t="shared" si="2"/>
        <v/>
      </c>
      <c r="H33" s="55"/>
      <c r="I33" s="55" t="str">
        <f t="shared" si="3"/>
        <v/>
      </c>
      <c r="J33" s="55"/>
      <c r="K33" s="55" t="s">
        <v>61</v>
      </c>
      <c r="L33" s="55"/>
      <c r="M33" s="55">
        <v>10</v>
      </c>
      <c r="N33" s="55">
        <v>20</v>
      </c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5"/>
      <c r="Z33" s="55"/>
      <c r="AA33" s="70"/>
      <c r="AB33" s="70"/>
      <c r="AC33" s="70"/>
      <c r="AD33" s="70"/>
      <c r="AE33" s="71"/>
      <c r="AF33" s="71"/>
      <c r="AG33" s="71"/>
      <c r="AH33" s="71"/>
      <c r="AI33" s="71"/>
      <c r="AJ33" s="71"/>
      <c r="AK33" s="70"/>
      <c r="AL33" s="70"/>
      <c r="AM33" s="70"/>
      <c r="AN33" s="70"/>
      <c r="AO33" s="70"/>
      <c r="AP33" s="70"/>
      <c r="AQ33" s="55"/>
      <c r="AR33" s="55"/>
      <c r="AS33" s="55"/>
      <c r="AT33" s="55"/>
      <c r="AU33" s="55"/>
      <c r="AV33" s="55"/>
      <c r="AW33" s="55"/>
      <c r="AX33" s="58"/>
      <c r="AY33" s="59"/>
      <c r="AZ33" s="60"/>
      <c r="BA33" s="60"/>
      <c r="BB33" s="60"/>
      <c r="BC33" s="60"/>
      <c r="BD33" s="60"/>
      <c r="BE33" s="61"/>
      <c r="BF33" s="60" t="str">
        <f t="shared" si="6"/>
        <v>Sí</v>
      </c>
      <c r="BG33" s="68" t="str">
        <f t="shared" si="7"/>
        <v>CPW05</v>
      </c>
      <c r="BH33" s="60" t="s">
        <v>62</v>
      </c>
      <c r="BI33" s="60" t="str">
        <f t="shared" si="8"/>
        <v>Ejecutado</v>
      </c>
      <c r="BJ33" s="72">
        <v>46233</v>
      </c>
      <c r="BK33" s="65" t="s">
        <v>78</v>
      </c>
    </row>
    <row r="34" spans="1:63" ht="15" thickBot="1" x14ac:dyDescent="0.35">
      <c r="A34" s="73"/>
      <c r="B34" s="74"/>
      <c r="C34" s="75">
        <v>46234</v>
      </c>
      <c r="D34" s="76">
        <f t="shared" si="0"/>
        <v>0</v>
      </c>
      <c r="E34" s="76" t="str">
        <f t="shared" si="1"/>
        <v/>
      </c>
      <c r="F34" s="76"/>
      <c r="G34" s="76" t="str">
        <f t="shared" si="2"/>
        <v/>
      </c>
      <c r="H34" s="76"/>
      <c r="I34" s="76" t="str">
        <f t="shared" si="3"/>
        <v/>
      </c>
      <c r="J34" s="76"/>
      <c r="K34" s="76" t="s">
        <v>61</v>
      </c>
      <c r="L34" s="76"/>
      <c r="M34" s="76" t="str">
        <f t="shared" si="4"/>
        <v/>
      </c>
      <c r="N34" s="76"/>
      <c r="O34" s="77"/>
      <c r="P34" s="77"/>
      <c r="Q34" s="77"/>
      <c r="R34" s="77"/>
      <c r="S34" s="77">
        <v>10</v>
      </c>
      <c r="T34" s="77">
        <v>20</v>
      </c>
      <c r="U34" s="77"/>
      <c r="V34" s="77"/>
      <c r="W34" s="77"/>
      <c r="X34" s="77"/>
      <c r="Y34" s="77">
        <f t="shared" ref="Y34" si="10">IF(MOD(C34-$C$4,15)=0,8,"")</f>
        <v>8</v>
      </c>
      <c r="Z34" s="77"/>
      <c r="AA34" s="76"/>
      <c r="AB34" s="76"/>
      <c r="AC34" s="77"/>
      <c r="AD34" s="77"/>
      <c r="AE34" s="78"/>
      <c r="AF34" s="78"/>
      <c r="AG34" s="78"/>
      <c r="AH34" s="78"/>
      <c r="AI34" s="78"/>
      <c r="AJ34" s="78"/>
      <c r="AK34" s="77"/>
      <c r="AL34" s="77"/>
      <c r="AM34" s="77"/>
      <c r="AN34" s="77"/>
      <c r="AO34" s="77"/>
      <c r="AP34" s="77"/>
      <c r="AQ34" s="76"/>
      <c r="AR34" s="76"/>
      <c r="AS34" s="76"/>
      <c r="AT34" s="76"/>
      <c r="AU34" s="76"/>
      <c r="AV34" s="76"/>
      <c r="AW34" s="76"/>
      <c r="AX34" s="79"/>
      <c r="AY34" s="80"/>
      <c r="AZ34" s="81"/>
      <c r="BA34" s="81"/>
      <c r="BB34" s="81"/>
      <c r="BC34" s="81"/>
      <c r="BD34" s="81"/>
      <c r="BE34" s="82"/>
      <c r="BF34" s="81" t="str">
        <f t="shared" si="6"/>
        <v>Sí</v>
      </c>
      <c r="BG34" s="83" t="str">
        <f t="shared" si="7"/>
        <v>CPW 10, JINAN 01</v>
      </c>
      <c r="BH34" s="81" t="s">
        <v>62</v>
      </c>
      <c r="BI34" s="81" t="str">
        <f t="shared" si="8"/>
        <v>Ejecutado</v>
      </c>
      <c r="BJ34" s="75">
        <v>46234</v>
      </c>
      <c r="BK34" s="84" t="s">
        <v>79</v>
      </c>
    </row>
  </sheetData>
  <mergeCells count="36">
    <mergeCell ref="A4:A34"/>
    <mergeCell ref="AW2:AX2"/>
    <mergeCell ref="AY2:AY3"/>
    <mergeCell ref="BF2:BK2"/>
    <mergeCell ref="BL2:BW2"/>
    <mergeCell ref="AZ3:BA3"/>
    <mergeCell ref="BB3:BC3"/>
    <mergeCell ref="BD3:BE3"/>
    <mergeCell ref="AK2:AL2"/>
    <mergeCell ref="AM2:AN2"/>
    <mergeCell ref="AO2:AP2"/>
    <mergeCell ref="AQ2:AR2"/>
    <mergeCell ref="AS2:AT2"/>
    <mergeCell ref="AU2:AV2"/>
    <mergeCell ref="Y2:Z2"/>
    <mergeCell ref="AA2:AB2"/>
    <mergeCell ref="AC2:AD2"/>
    <mergeCell ref="AE2:AF2"/>
    <mergeCell ref="AG2:AH2"/>
    <mergeCell ref="AI2:AJ2"/>
    <mergeCell ref="M2:N2"/>
    <mergeCell ref="O2:P2"/>
    <mergeCell ref="Q2:R2"/>
    <mergeCell ref="S2:T2"/>
    <mergeCell ref="U2:V2"/>
    <mergeCell ref="W2:X2"/>
    <mergeCell ref="A1:A3"/>
    <mergeCell ref="C1:AX1"/>
    <mergeCell ref="AZ1:BE2"/>
    <mergeCell ref="BL1:BW1"/>
    <mergeCell ref="C2:C3"/>
    <mergeCell ref="D2:D3"/>
    <mergeCell ref="E2:F2"/>
    <mergeCell ref="G2:H2"/>
    <mergeCell ref="I2:J2"/>
    <mergeCell ref="K2:L2"/>
  </mergeCells>
  <conditionalFormatting sqref="A1:XFD3">
    <cfRule type="cellIs" dxfId="15" priority="16" operator="equal">
      <formula>48</formula>
    </cfRule>
  </conditionalFormatting>
  <conditionalFormatting sqref="E4:AX34">
    <cfRule type="cellIs" dxfId="14" priority="5" operator="equal">
      <formula>24</formula>
    </cfRule>
    <cfRule type="cellIs" dxfId="13" priority="10" operator="equal">
      <formula>16</formula>
    </cfRule>
    <cfRule type="cellIs" dxfId="12" priority="11" operator="equal">
      <formula>8.5</formula>
    </cfRule>
  </conditionalFormatting>
  <conditionalFormatting sqref="E4:AX34">
    <cfRule type="cellIs" dxfId="11" priority="12" operator="equal">
      <formula>10</formula>
    </cfRule>
  </conditionalFormatting>
  <conditionalFormatting sqref="E4:AY34">
    <cfRule type="cellIs" dxfId="10" priority="7" operator="equal">
      <formula>20</formula>
    </cfRule>
    <cfRule type="cellIs" dxfId="9" priority="8" operator="equal">
      <formula>12</formula>
    </cfRule>
    <cfRule type="cellIs" dxfId="8" priority="9" operator="equal">
      <formula>12</formula>
    </cfRule>
  </conditionalFormatting>
  <conditionalFormatting sqref="Q8">
    <cfRule type="cellIs" dxfId="7" priority="6" operator="equal">
      <formula>10</formula>
    </cfRule>
  </conditionalFormatting>
  <conditionalFormatting sqref="U6">
    <cfRule type="cellIs" dxfId="6" priority="4" operator="equal">
      <formula>10</formula>
    </cfRule>
  </conditionalFormatting>
  <conditionalFormatting sqref="W4">
    <cfRule type="cellIs" dxfId="5" priority="3" operator="equal">
      <formula>10</formula>
    </cfRule>
  </conditionalFormatting>
  <conditionalFormatting sqref="BI4:BI34">
    <cfRule type="containsText" dxfId="4" priority="13" operator="containsText" text="Ejecutado">
      <formula>NOT(ISERROR(SEARCH("Ejecutado",BI4)))</formula>
    </cfRule>
    <cfRule type="containsText" dxfId="3" priority="14" operator="containsText" text="Programado pendiente">
      <formula>NOT(ISERROR(SEARCH("Programado pendiente",BI4)))</formula>
    </cfRule>
    <cfRule type="containsText" dxfId="2" priority="15" operator="containsText" text="No aplica">
      <formula>NOT(ISERROR(SEARCH("No aplica",BI4)))</formula>
    </cfRule>
  </conditionalFormatting>
  <conditionalFormatting sqref="A4:BK34">
    <cfRule type="cellIs" dxfId="1" priority="2" operator="equal">
      <formula>48</formula>
    </cfRule>
  </conditionalFormatting>
  <conditionalFormatting sqref="E4:AX34">
    <cfRule type="cellIs" dxfId="0" priority="1" operator="equal">
      <formula>48</formula>
    </cfRule>
  </conditionalFormatting>
  <dataValidations count="1">
    <dataValidation type="list" allowBlank="1" showInputMessage="1" showErrorMessage="1" promptTitle="MTO ejecutado" prompt="Seleccione Sí cuando el mantenimiento haya sido ejecutado." sqref="BH4:BH34" xr:uid="{63B4ACCD-0AEE-4A36-97C1-13B59E9974A3}">
      <formula1>"Sí,No"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Cornejo Cárdenas</dc:creator>
  <cp:lastModifiedBy>David Cornejo Cárdenas</cp:lastModifiedBy>
  <dcterms:created xsi:type="dcterms:W3CDTF">2026-08-10T01:47:08Z</dcterms:created>
  <dcterms:modified xsi:type="dcterms:W3CDTF">2026-08-10T01:48:08Z</dcterms:modified>
</cp:coreProperties>
</file>